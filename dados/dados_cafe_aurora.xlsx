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56361ba1e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2966956edfb7409d"/>
    <x:sheet xmlns:r="http://schemas.openxmlformats.org/officeDocument/2006/relationships" name="Guia do Projeto" sheetId="2" r:id="Rbf57afa24ec4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R$ #,##0.00"/>
    <x:numFmt numFmtId="202" formatCode="0%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color rgb="FF3B251A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3B251A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6F4E37"/>
      </x:patternFill>
    </x:fill>
    <x:fill>
      <x:patternFill patternType="solid">
        <x:fgColor rgb="FFD9B99B"/>
      </x:patternFill>
    </x:fill>
    <x:fill>
      <x:patternFill patternType="solid">
        <x:fgColor rgb="FFF7F0EA"/>
      </x:patternFill>
    </x:fill>
  </x:fills>
  <x:borders count="7">
    <x:border/>
    <x:border>
      <x:left style="thin">
        <x:color rgb="FF4A3324"/>
      </x:left>
      <x:top style="thin">
        <x:color rgb="FF4A3324"/>
      </x:top>
      <x:bottom style="thin">
        <x:color rgb="FF4A3324"/>
      </x:bottom>
    </x:border>
    <x:border>
      <x:top style="thin">
        <x:color rgb="FF4A3324"/>
      </x:top>
      <x:bottom style="thin">
        <x:color rgb="FF4A3324"/>
      </x:bottom>
    </x:border>
    <x:border>
      <x:right style="thin">
        <x:color rgb="FF4A3324"/>
      </x:right>
      <x:top style="thin">
        <x:color rgb="FF4A3324"/>
      </x:top>
      <x:bottom style="thin">
        <x:color rgb="FF4A3324"/>
      </x:bottom>
    </x:border>
    <x:border>
      <x:bottom style="thin">
        <x:color rgb="FFE8DED5"/>
      </x:bottom>
    </x:border>
    <x:border>
      <x:top style="thin">
        <x:color rgb="FFE8DED5"/>
      </x:top>
      <x:bottom style="thin">
        <x:color rgb="FFE8DED5"/>
      </x:bottom>
    </x:border>
    <x:border>
      <x:top style="thin">
        <x:color rgb="FFE8DED5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1" fontId="3" fillId="0" borderId="4" xfId="0" applyNumberFormat="1" applyFont="1" applyFill="1" applyBorder="1"/>
    <x:xf numFmtId="201" fontId="3" fillId="0" borderId="5" xfId="0" applyNumberFormat="1" applyFont="1" applyFill="1" applyBorder="1"/>
    <x:xf numFmtId="201" fontId="3" fillId="0" borderId="6" xfId="0" applyNumberFormat="1" applyFont="1" applyFill="1" applyBorder="1"/>
    <x:xf numFmtId="202" fontId="3" fillId="0" borderId="4" xfId="0" applyNumberFormat="1" applyFont="1" applyFill="1" applyBorder="1"/>
    <x:xf numFmtId="202" fontId="3" fillId="0" borderId="5" xfId="0" applyNumberFormat="1" applyFont="1" applyFill="1" applyBorder="1"/>
    <x:xf numFmtId="202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1c922fdd849a2" /><Relationship Type="http://schemas.openxmlformats.org/officeDocument/2006/relationships/theme" Target="/xl/theme/theme1.xml" Id="Re4b5e657f4ce4149" /><Relationship Type="http://schemas.openxmlformats.org/officeDocument/2006/relationships/sharedStrings" Target="/xl/sharedStrings.xml" Id="Rd57d58d37f754208" /><Relationship Type="http://schemas.openxmlformats.org/officeDocument/2006/relationships/worksheet" Target="/xl/worksheets/sheet1.xml" Id="R2966956edfb7409d" /><Relationship Type="http://schemas.openxmlformats.org/officeDocument/2006/relationships/worksheet" Target="/xl/worksheets/sheet2.xml" Id="Rbf57afa24ec441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9" hidden="0" customWidth="1"/>
    <x:col min="4" max="4" width="15" hidden="0" customWidth="1"/>
    <x:col min="5" max="5" width="23" hidden="0" customWidth="1"/>
    <x:col min="6" max="6" width="17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20" hidden="0" customWidth="1"/>
    <x:col min="12" max="12" width="2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15" t="str">
        <x:v>Pedido_ID</x:v>
      </x:c>
      <x:c r="B1" s="16" t="str">
        <x:v>Data</x:v>
      </x:c>
      <x:c r="C1" s="16" t="str">
        <x:v>Hora</x:v>
      </x:c>
      <x:c r="D1" s="16" t="str">
        <x:v>Canal</x:v>
      </x:c>
      <x:c r="E1" s="16" t="str">
        <x:v>Produto</x:v>
      </x:c>
      <x:c r="F1" s="16" t="str">
        <x:v>Categoria</x:v>
      </x:c>
      <x:c r="G1" s="16" t="str">
        <x:v>Tamanho</x:v>
      </x:c>
      <x:c r="H1" s="16" t="str">
        <x:v>Quantidade</x:v>
      </x:c>
      <x:c r="I1" s="16" t="str">
        <x:v>Preco_Unitario</x:v>
      </x:c>
      <x:c r="J1" s="16" t="str">
        <x:v>Desconto_%</x:v>
      </x:c>
      <x:c r="K1" s="16" t="str">
        <x:v>Forma_Pagamento</x:v>
      </x:c>
      <x:c r="L1" s="16" t="str">
        <x:v>Tipo_Cliente</x:v>
      </x:c>
      <x:c r="M1" s="16" t="str">
        <x:v>Status</x:v>
      </x:c>
      <x:c r="N1" s="16" t="str">
        <x:v>Tempo_Preparo_Min</x:v>
      </x:c>
      <x:c r="O1" s="16" t="str">
        <x:v>Avaliacao</x:v>
      </x:c>
      <x:c r="P1" s="16" t="str">
        <x:v>Receita_Bruta</x:v>
      </x:c>
      <x:c r="Q1" s="16" t="str">
        <x:v>Desconto_R$</x:v>
      </x:c>
      <x:c r="R1" s="16" t="str">
        <x:v>Receita_Liquida</x:v>
      </x:c>
      <x:c r="S1" s="16" t="str">
        <x:v>Custo_R$</x:v>
      </x:c>
      <x:c r="T1" s="17" t="str">
        <x:v>Lucro_R$</x:v>
      </x:c>
    </x:row>
    <x:row r="2">
      <x:c r="A2" s="31" t="str">
        <x:v>CAF-0001</x:v>
      </x:c>
      <x:c r="B2" s="32" t="n">
        <x:v>46225</x:v>
      </x:c>
      <x:c r="C2" s="31" t="str">
        <x:v>17:46</x:v>
      </x:c>
      <x:c r="D2" s="31" t="str">
        <x:v>Delivery</x:v>
      </x:c>
      <x:c r="E2" s="31" t="str">
        <x:v>Croissant</x:v>
      </x:c>
      <x:c r="F2" s="31" t="str">
        <x:v>Comidas</x:v>
      </x:c>
      <x:c r="G2" s="31" t="str">
        <x:v>Único</x:v>
      </x:c>
      <x:c r="H2" s="31" t="n">
        <x:v>1</x:v>
      </x:c>
      <x:c r="I2" s="33" t="n">
        <x:v>12.5</x:v>
      </x:c>
      <x:c r="J2" s="34" t="n">
        <x:v>0</x:v>
      </x:c>
      <x:c r="K2" s="31" t="str">
        <x:v>Cartão de débito</x:v>
      </x:c>
      <x:c r="L2" s="31" t="str">
        <x:v>Recorrente</x:v>
      </x:c>
      <x:c r="M2" s="31" t="str">
        <x:v>Cancelado</x:v>
      </x:c>
      <x:c r="N2" s="31" t="n">
        <x:v>8</x:v>
      </x:c>
      <x:c r="O2" s="31"/>
      <x:c r="P2" s="33" t="n">
        <x:f>ROUND(H2*I2,2)</x:f>
        <x:v>12.5</x:v>
      </x:c>
      <x:c r="Q2" s="33" t="n">
        <x:f>ROUND(P2*J2,2)</x:f>
        <x:v>0</x:v>
      </x:c>
      <x:c r="R2" s="33" t="n">
        <x:f>ROUND(P2-Q2,2)</x:f>
        <x:v>12.5</x:v>
      </x:c>
      <x:c r="S2" s="33" t="n">
        <x:v>4.8</x:v>
      </x:c>
      <x:c r="T2" s="33" t="n">
        <x:f>ROUND(R2-S2,2)</x:f>
        <x:v>7.7</x:v>
      </x:c>
    </x:row>
    <x:row r="3">
      <x:c r="A3" s="35" t="str">
        <x:v>CAF-0002</x:v>
      </x:c>
      <x:c r="B3" s="36" t="n">
        <x:v>46222</x:v>
      </x:c>
      <x:c r="C3" s="35" t="str">
        <x:v>18:20</x:v>
      </x:c>
      <x:c r="D3" s="35" t="str">
        <x:v>Delivery</x:v>
      </x:c>
      <x:c r="E3" s="35" t="str">
        <x:v>Sanduíche natural</x:v>
      </x:c>
      <x:c r="F3" s="35" t="str">
        <x:v>Comidas</x:v>
      </x:c>
      <x:c r="G3" s="35" t="str">
        <x:v>Único</x:v>
      </x:c>
      <x:c r="H3" s="35" t="n">
        <x:v>3</x:v>
      </x:c>
      <x:c r="I3" s="37" t="n">
        <x:v>18.9</x:v>
      </x:c>
      <x:c r="J3" s="38" t="n">
        <x:v>0</x:v>
      </x:c>
      <x:c r="K3" s="35" t="str">
        <x:v>Pix</x:v>
      </x:c>
      <x:c r="L3" s="35" t="str">
        <x:v>Recorrente</x:v>
      </x:c>
      <x:c r="M3" s="35" t="str">
        <x:v>Concluído</x:v>
      </x:c>
      <x:c r="N3" s="35" t="n">
        <x:v>18</x:v>
      </x:c>
      <x:c r="O3" s="35" t="n">
        <x:v>3</x:v>
      </x:c>
      <x:c r="P3" s="37" t="n">
        <x:f>ROUND(H3*I3,2)</x:f>
        <x:v>56.7</x:v>
      </x:c>
      <x:c r="Q3" s="37" t="n">
        <x:f>ROUND(P3*J3,2)</x:f>
        <x:v>0</x:v>
      </x:c>
      <x:c r="R3" s="37" t="n">
        <x:f>ROUND(P3-Q3,2)</x:f>
        <x:v>56.7</x:v>
      </x:c>
      <x:c r="S3" s="37" t="n">
        <x:v>21.19</x:v>
      </x:c>
      <x:c r="T3" s="37" t="n">
        <x:f>ROUND(R3-S3,2)</x:f>
        <x:v>35.51</x:v>
      </x:c>
    </x:row>
    <x:row r="4">
      <x:c r="A4" s="35" t="str">
        <x:v>CAF-0003</x:v>
      </x:c>
      <x:c r="B4" s="36" t="n">
        <x:v>46224</x:v>
      </x:c>
      <x:c r="C4" s="35" t="str">
        <x:v>14:33</x:v>
      </x:c>
      <x:c r="D4" s="35" t="str">
        <x:v>Aplicativo</x:v>
      </x:c>
      <x:c r="E4" s="35" t="str">
        <x:v>Suco natural</x:v>
      </x:c>
      <x:c r="F4" s="35" t="str">
        <x:v>Bebidas frias</x:v>
      </x:c>
      <x:c r="G4" s="35" t="str">
        <x:v>Grande</x:v>
      </x:c>
      <x:c r="H4" s="35" t="n">
        <x:v>4</x:v>
      </x:c>
      <x:c r="I4" s="37" t="n">
        <x:v>11.9</x:v>
      </x:c>
      <x:c r="J4" s="38" t="n">
        <x:v>0</x:v>
      </x:c>
      <x:c r="K4" s="35" t="str">
        <x:v>Cartão de crédito</x:v>
      </x:c>
      <x:c r="L4" s="35" t="str">
        <x:v>Novo</x:v>
      </x:c>
      <x:c r="M4" s="35" t="str">
        <x:v>Concluído</x:v>
      </x:c>
      <x:c r="N4" s="35" t="n">
        <x:v>14</x:v>
      </x:c>
      <x:c r="O4" s="35" t="n">
        <x:v>5</x:v>
      </x:c>
      <x:c r="P4" s="37" t="n">
        <x:f>ROUND(H4*I4,2)</x:f>
        <x:v>47.6</x:v>
      </x:c>
      <x:c r="Q4" s="37" t="n">
        <x:f>ROUND(P4*J4,2)</x:f>
        <x:v>0</x:v>
      </x:c>
      <x:c r="R4" s="37" t="n">
        <x:f>ROUND(P4-Q4,2)</x:f>
        <x:v>47.6</x:v>
      </x:c>
      <x:c r="S4" s="37" t="n">
        <x:v>22.18</x:v>
      </x:c>
      <x:c r="T4" s="37" t="n">
        <x:f>ROUND(R4-S4,2)</x:f>
        <x:v>25.42</x:v>
      </x:c>
    </x:row>
    <x:row r="5">
      <x:c r="A5" s="35" t="str">
        <x:v>CAF-0004</x:v>
      </x:c>
      <x:c r="B5" s="36" t="n">
        <x:v>46215</x:v>
      </x:c>
      <x:c r="C5" s="35" t="str">
        <x:v>17:25</x:v>
      </x:c>
      <x:c r="D5" s="35" t="str">
        <x:v>Aplicativo</x:v>
      </x:c>
      <x:c r="E5" s="35" t="str">
        <x:v>Suco natural</x:v>
      </x:c>
      <x:c r="F5" s="35" t="str">
        <x:v>Bebidas frias</x:v>
      </x:c>
      <x:c r="G5" s="35" t="str">
        <x:v>Grande</x:v>
      </x:c>
      <x:c r="H5" s="35" t="n">
        <x:v>2</x:v>
      </x:c>
      <x:c r="I5" s="37" t="n">
        <x:v>11.9</x:v>
      </x:c>
      <x:c r="J5" s="38" t="n">
        <x:v>0</x:v>
      </x:c>
      <x:c r="K5" s="35" t="str">
        <x:v>Dinheiro</x:v>
      </x:c>
      <x:c r="L5" s="35" t="str">
        <x:v>Programa de fidelidade</x:v>
      </x:c>
      <x:c r="M5" s="35" t="str">
        <x:v>Concluído</x:v>
      </x:c>
      <x:c r="N5" s="35" t="n">
        <x:v>15</x:v>
      </x:c>
      <x:c r="O5" s="35" t="n">
        <x:v>4</x:v>
      </x:c>
      <x:c r="P5" s="37" t="n">
        <x:f>ROUND(H5*I5,2)</x:f>
        <x:v>23.8</x:v>
      </x:c>
      <x:c r="Q5" s="37" t="n">
        <x:f>ROUND(P5*J5,2)</x:f>
        <x:v>0</x:v>
      </x:c>
      <x:c r="R5" s="37" t="n">
        <x:f>ROUND(P5-Q5,2)</x:f>
        <x:v>23.8</x:v>
      </x:c>
      <x:c r="S5" s="37" t="n">
        <x:v>8.9</x:v>
      </x:c>
      <x:c r="T5" s="37" t="n">
        <x:f>ROUND(R5-S5,2)</x:f>
        <x:v>14.9</x:v>
      </x:c>
    </x:row>
    <x:row r="6">
      <x:c r="A6" s="35" t="str">
        <x:v>CAF-0005</x:v>
      </x:c>
      <x:c r="B6" s="36" t="n">
        <x:v>46209</x:v>
      </x:c>
      <x:c r="C6" s="35" t="str">
        <x:v>13:04</x:v>
      </x:c>
      <x:c r="D6" s="35" t="str">
        <x:v>Delivery</x:v>
      </x:c>
      <x:c r="E6" s="35" t="str">
        <x:v>Cappuccino</x:v>
      </x:c>
      <x:c r="F6" s="35" t="str">
        <x:v>Cafés</x:v>
      </x:c>
      <x:c r="G6" s="35" t="str">
        <x:v>Médio</x:v>
      </x:c>
      <x:c r="H6" s="35" t="n">
        <x:v>4</x:v>
      </x:c>
      <x:c r="I6" s="37" t="n">
        <x:v>12.9</x:v>
      </x:c>
      <x:c r="J6" s="38" t="n">
        <x:v>0.05</x:v>
      </x:c>
      <x:c r="K6" s="35" t="str">
        <x:v>Cartão de crédito</x:v>
      </x:c>
      <x:c r="L6" s="35" t="str">
        <x:v>Programa de fidelidade</x:v>
      </x:c>
      <x:c r="M6" s="35" t="str">
        <x:v>Concluído</x:v>
      </x:c>
      <x:c r="N6" s="35" t="n">
        <x:v>6</x:v>
      </x:c>
      <x:c r="O6" s="35" t="n">
        <x:v>4</x:v>
      </x:c>
      <x:c r="P6" s="37" t="n">
        <x:f>ROUND(H6*I6,2)</x:f>
        <x:v>51.6</x:v>
      </x:c>
      <x:c r="Q6" s="37" t="n">
        <x:f>ROUND(P6*J6,2)</x:f>
        <x:v>2.58</x:v>
      </x:c>
      <x:c r="R6" s="37" t="n">
        <x:f>ROUND(P6-Q6,2)</x:f>
        <x:v>49.02</x:v>
      </x:c>
      <x:c r="S6" s="37" t="n">
        <x:v>18.57</x:v>
      </x:c>
      <x:c r="T6" s="37" t="n">
        <x:f>ROUND(R6-S6,2)</x:f>
        <x:v>30.45</x:v>
      </x:c>
    </x:row>
    <x:row r="7">
      <x:c r="A7" s="35" t="str">
        <x:v>CAF-0006</x:v>
      </x:c>
      <x:c r="B7" s="36" t="n">
        <x:v>46210</x:v>
      </x:c>
      <x:c r="C7" s="35" t="str">
        <x:v>15:40</x:v>
      </x:c>
      <x:c r="D7" s="35" t="str">
        <x:v>Totem</x:v>
      </x:c>
      <x:c r="E7" s="35" t="str">
        <x:v>Sanduíche natural</x:v>
      </x:c>
      <x:c r="F7" s="35" t="str">
        <x:v>Comidas</x:v>
      </x:c>
      <x:c r="G7" s="35" t="str">
        <x:v>Único</x:v>
      </x:c>
      <x:c r="H7" s="35" t="n">
        <x:v>2</x:v>
      </x:c>
      <x:c r="I7" s="37" t="n">
        <x:v>18.9</x:v>
      </x:c>
      <x:c r="J7" s="38" t="n">
        <x:v>0.05</x:v>
      </x:c>
      <x:c r="K7" s="35" t="str">
        <x:v>Cartão de débito</x:v>
      </x:c>
      <x:c r="L7" s="35" t="str">
        <x:v>Novo</x:v>
      </x:c>
      <x:c r="M7" s="35" t="str">
        <x:v>Cancelado</x:v>
      </x:c>
      <x:c r="N7" s="35" t="n">
        <x:v>19</x:v>
      </x:c>
      <x:c r="O7" s="35"/>
      <x:c r="P7" s="37" t="n">
        <x:f>ROUND(H7*I7,2)</x:f>
        <x:v>37.8</x:v>
      </x:c>
      <x:c r="Q7" s="37" t="n">
        <x:f>ROUND(P7*J7,2)</x:f>
        <x:v>1.89</x:v>
      </x:c>
      <x:c r="R7" s="37" t="n">
        <x:f>ROUND(P7-Q7,2)</x:f>
        <x:v>35.91</x:v>
      </x:c>
      <x:c r="S7" s="37" t="n">
        <x:v>17.27</x:v>
      </x:c>
      <x:c r="T7" s="37" t="n">
        <x:f>ROUND(R7-S7,2)</x:f>
        <x:v>18.64</x:v>
      </x:c>
    </x:row>
    <x:row r="8">
      <x:c r="A8" s="35" t="str">
        <x:v>CAF-0007</x:v>
      </x:c>
      <x:c r="B8" s="36" t="n">
        <x:v>46217</x:v>
      </x:c>
      <x:c r="C8" s="35" t="str">
        <x:v>09:34</x:v>
      </x:c>
      <x:c r="D8" s="35" t="str">
        <x:v>Delivery</x:v>
      </x:c>
      <x:c r="E8" s="35" t="str">
        <x:v>Suco natural</x:v>
      </x:c>
      <x:c r="F8" s="35" t="str">
        <x:v>Bebidas frias</x:v>
      </x:c>
      <x:c r="G8" s="35" t="str">
        <x:v>Grande</x:v>
      </x:c>
      <x:c r="H8" s="35" t="n">
        <x:v>3</x:v>
      </x:c>
      <x:c r="I8" s="37" t="n">
        <x:v>11.9</x:v>
      </x:c>
      <x:c r="J8" s="38" t="n">
        <x:v>0</x:v>
      </x:c>
      <x:c r="K8" s="35" t="str">
        <x:v>Cartão de crédito</x:v>
      </x:c>
      <x:c r="L8" s="35" t="str">
        <x:v>Recorrente</x:v>
      </x:c>
      <x:c r="M8" s="35" t="str">
        <x:v>Concluído</x:v>
      </x:c>
      <x:c r="N8" s="35" t="n">
        <x:v>13</x:v>
      </x:c>
      <x:c r="O8" s="35" t="n">
        <x:v>3</x:v>
      </x:c>
      <x:c r="P8" s="37" t="n">
        <x:f>ROUND(H8*I8,2)</x:f>
        <x:v>35.7</x:v>
      </x:c>
      <x:c r="Q8" s="37" t="n">
        <x:f>ROUND(P8*J8,2)</x:f>
        <x:v>0</x:v>
      </x:c>
      <x:c r="R8" s="37" t="n">
        <x:f>ROUND(P8-Q8,2)</x:f>
        <x:v>35.7</x:v>
      </x:c>
      <x:c r="S8" s="37" t="n">
        <x:v>14.08</x:v>
      </x:c>
      <x:c r="T8" s="37" t="n">
        <x:f>ROUND(R8-S8,2)</x:f>
        <x:v>21.62</x:v>
      </x:c>
    </x:row>
    <x:row r="9">
      <x:c r="A9" s="35" t="str">
        <x:v>CAF-0008</x:v>
      </x:c>
      <x:c r="B9" s="36" t="n">
        <x:v>46230</x:v>
      </x:c>
      <x:c r="C9" s="35" t="str">
        <x:v>08:52</x:v>
      </x:c>
      <x:c r="D9" s="35" t="str">
        <x:v>Aplicativo</x:v>
      </x:c>
      <x:c r="E9" s="35" t="str">
        <x:v>Sanduíche natural</x:v>
      </x:c>
      <x:c r="F9" s="35" t="str">
        <x:v>Comidas</x:v>
      </x:c>
      <x:c r="G9" s="35" t="str">
        <x:v>Único</x:v>
      </x:c>
      <x:c r="H9" s="35" t="n">
        <x:v>2</x:v>
      </x:c>
      <x:c r="I9" s="37" t="n">
        <x:v>18.9</x:v>
      </x:c>
      <x:c r="J9" s="38" t="n">
        <x:v>0</x:v>
      </x:c>
      <x:c r="K9" s="35" t="str">
        <x:v>Cartão de crédito</x:v>
      </x:c>
      <x:c r="L9" s="35" t="str">
        <x:v>Programa de fidelidade</x:v>
      </x:c>
      <x:c r="M9" s="35" t="str">
        <x:v>Concluído</x:v>
      </x:c>
      <x:c r="N9" s="35" t="n">
        <x:v>18</x:v>
      </x:c>
      <x:c r="O9" s="35" t="n">
        <x:v>4</x:v>
      </x:c>
      <x:c r="P9" s="37" t="n">
        <x:f>ROUND(H9*I9,2)</x:f>
        <x:v>37.8</x:v>
      </x:c>
      <x:c r="Q9" s="37" t="n">
        <x:f>ROUND(P9*J9,2)</x:f>
        <x:v>0</x:v>
      </x:c>
      <x:c r="R9" s="37" t="n">
        <x:f>ROUND(P9-Q9,2)</x:f>
        <x:v>37.8</x:v>
      </x:c>
      <x:c r="S9" s="37" t="n">
        <x:v>15</x:v>
      </x:c>
      <x:c r="T9" s="37" t="n">
        <x:f>ROUND(R9-S9,2)</x:f>
        <x:v>22.8</x:v>
      </x:c>
    </x:row>
    <x:row r="10">
      <x:c r="A10" s="35" t="str">
        <x:v>CAF-0009</x:v>
      </x:c>
      <x:c r="B10" s="36" t="n">
        <x:v>46227</x:v>
      </x:c>
      <x:c r="C10" s="35" t="str">
        <x:v>07:24</x:v>
      </x:c>
      <x:c r="D10" s="35" t="str">
        <x:v>Aplicativo</x:v>
      </x:c>
      <x:c r="E10" s="35" t="str">
        <x:v>Chá gelado</x:v>
      </x:c>
      <x:c r="F10" s="35" t="str">
        <x:v>Bebidas frias</x:v>
      </x:c>
      <x:c r="G10" s="35" t="str">
        <x:v>Médio</x:v>
      </x:c>
      <x:c r="H10" s="35" t="n">
        <x:v>4</x:v>
      </x:c>
      <x:c r="I10" s="37" t="n">
        <x:v>9.9</x:v>
      </x:c>
      <x:c r="J10" s="38" t="n">
        <x:v>0</x:v>
      </x:c>
      <x:c r="K10" s="35" t="str">
        <x:v>Pix</x:v>
      </x:c>
      <x:c r="L10" s="35" t="str">
        <x:v>Novo</x:v>
      </x:c>
      <x:c r="M10" s="35" t="str">
        <x:v>Cancelado</x:v>
      </x:c>
      <x:c r="N10" s="35" t="n">
        <x:v>12</x:v>
      </x:c>
      <x:c r="O10" s="35"/>
      <x:c r="P10" s="37" t="n">
        <x:f>ROUND(H10*I10,2)</x:f>
        <x:v>39.6</x:v>
      </x:c>
      <x:c r="Q10" s="37" t="n">
        <x:f>ROUND(P10*J10,2)</x:f>
        <x:v>0</x:v>
      </x:c>
      <x:c r="R10" s="37" t="n">
        <x:f>ROUND(P10-Q10,2)</x:f>
        <x:v>39.6</x:v>
      </x:c>
      <x:c r="S10" s="37" t="n">
        <x:v>18.53</x:v>
      </x:c>
      <x:c r="T10" s="37" t="n">
        <x:f>ROUND(R10-S10,2)</x:f>
        <x:v>21.07</x:v>
      </x:c>
    </x:row>
    <x:row r="11">
      <x:c r="A11" s="35" t="str">
        <x:v>CAF-0010</x:v>
      </x:c>
      <x:c r="B11" s="36" t="n">
        <x:v>46207</x:v>
      </x:c>
      <x:c r="C11" s="35" t="str">
        <x:v>16:30</x:v>
      </x:c>
      <x:c r="D11" s="35" t="str">
        <x:v>Balcão</x:v>
      </x:c>
      <x:c r="E11" s="35" t="str">
        <x:v>Suco natural</x:v>
      </x:c>
      <x:c r="F11" s="35" t="str">
        <x:v>Bebidas frias</x:v>
      </x:c>
      <x:c r="G11" s="35" t="str">
        <x:v>Grande</x:v>
      </x:c>
      <x:c r="H11" s="35" t="n">
        <x:v>4</x:v>
      </x:c>
      <x:c r="I11" s="37" t="n">
        <x:v>11.9</x:v>
      </x:c>
      <x:c r="J11" s="38" t="n">
        <x:v>0</x:v>
      </x:c>
      <x:c r="K11" s="35" t="str">
        <x:v>Cartão de crédito</x:v>
      </x:c>
      <x:c r="L11" s="35" t="str">
        <x:v>Novo</x:v>
      </x:c>
      <x:c r="M11" s="35" t="str">
        <x:v>Concluído</x:v>
      </x:c>
      <x:c r="N11" s="35" t="n">
        <x:v>17</x:v>
      </x:c>
      <x:c r="O11" s="35" t="n">
        <x:v>4</x:v>
      </x:c>
      <x:c r="P11" s="37" t="n">
        <x:f>ROUND(H11*I11,2)</x:f>
        <x:v>47.6</x:v>
      </x:c>
      <x:c r="Q11" s="37" t="n">
        <x:f>ROUND(P11*J11,2)</x:f>
        <x:v>0</x:v>
      </x:c>
      <x:c r="R11" s="37" t="n">
        <x:f>ROUND(P11-Q11,2)</x:f>
        <x:v>47.6</x:v>
      </x:c>
      <x:c r="S11" s="37" t="n">
        <x:v>20.57</x:v>
      </x:c>
      <x:c r="T11" s="37" t="n">
        <x:f>ROUND(R11-S11,2)</x:f>
        <x:v>27.03</x:v>
      </x:c>
    </x:row>
    <x:row r="12">
      <x:c r="A12" s="35" t="str">
        <x:v>CAF-0011</x:v>
      </x:c>
      <x:c r="B12" s="36" t="n">
        <x:v>46228</x:v>
      </x:c>
      <x:c r="C12" s="35" t="str">
        <x:v>12:53</x:v>
      </x:c>
      <x:c r="D12" s="35" t="str">
        <x:v>Delivery</x:v>
      </x:c>
      <x:c r="E12" s="35" t="str">
        <x:v>Cookie</x:v>
      </x:c>
      <x:c r="F12" s="35" t="str">
        <x:v>Comidas</x:v>
      </x:c>
      <x:c r="G12" s="35" t="str">
        <x:v>Único</x:v>
      </x:c>
      <x:c r="H12" s="35" t="n">
        <x:v>3</x:v>
      </x:c>
      <x:c r="I12" s="37" t="n">
        <x:v>7.5</x:v>
      </x:c>
      <x:c r="J12" s="38" t="n">
        <x:v>0.1</x:v>
      </x:c>
      <x:c r="K12" s="35" t="str">
        <x:v>Dinheiro</x:v>
      </x:c>
      <x:c r="L12" s="35" t="str">
        <x:v>Programa de fidelidade</x:v>
      </x:c>
      <x:c r="M12" s="35" t="str">
        <x:v>Concluído</x:v>
      </x:c>
      <x:c r="N12" s="35" t="n">
        <x:v>13</x:v>
      </x:c>
      <x:c r="O12" s="35" t="n">
        <x:v>5</x:v>
      </x:c>
      <x:c r="P12" s="37" t="n">
        <x:f>ROUND(H12*I12,2)</x:f>
        <x:v>22.5</x:v>
      </x:c>
      <x:c r="Q12" s="37" t="n">
        <x:f>ROUND(P12*J12,2)</x:f>
        <x:v>2.25</x:v>
      </x:c>
      <x:c r="R12" s="37" t="n">
        <x:f>ROUND(P12-Q12,2)</x:f>
        <x:v>20.25</x:v>
      </x:c>
      <x:c r="S12" s="37" t="n">
        <x:v>10.05</x:v>
      </x:c>
      <x:c r="T12" s="37" t="n">
        <x:f>ROUND(R12-S12,2)</x:f>
        <x:v>10.2</x:v>
      </x:c>
    </x:row>
    <x:row r="13">
      <x:c r="A13" s="35" t="str">
        <x:v>CAF-0012</x:v>
      </x:c>
      <x:c r="B13" s="36" t="n">
        <x:v>46224</x:v>
      </x:c>
      <x:c r="C13" s="35" t="str">
        <x:v>16:28</x:v>
      </x:c>
      <x:c r="D13" s="35" t="str">
        <x:v>Balcão</x:v>
      </x:c>
      <x:c r="E13" s="35" t="str">
        <x:v>Brownie</x:v>
      </x:c>
      <x:c r="F13" s="35" t="str">
        <x:v>Comidas</x:v>
      </x:c>
      <x:c r="G13" s="35" t="str">
        <x:v>Fatia</x:v>
      </x:c>
      <x:c r="H13" s="35" t="n">
        <x:v>1</x:v>
      </x:c>
      <x:c r="I13" s="37" t="n">
        <x:v>9.5</x:v>
      </x:c>
      <x:c r="J13" s="38" t="n">
        <x:v>0</x:v>
      </x:c>
      <x:c r="K13" s="35" t="str">
        <x:v>Cartão de crédito</x:v>
      </x:c>
      <x:c r="L13" s="35" t="str">
        <x:v>Novo</x:v>
      </x:c>
      <x:c r="M13" s="35" t="str">
        <x:v>Cancelado</x:v>
      </x:c>
      <x:c r="N13" s="35" t="n">
        <x:v>12</x:v>
      </x:c>
      <x:c r="O13" s="35"/>
      <x:c r="P13" s="37" t="n">
        <x:f>ROUND(H13*I13,2)</x:f>
        <x:v>9.5</x:v>
      </x:c>
      <x:c r="Q13" s="37" t="n">
        <x:f>ROUND(P13*J13,2)</x:f>
        <x:v>0</x:v>
      </x:c>
      <x:c r="R13" s="37" t="n">
        <x:f>ROUND(P13-Q13,2)</x:f>
        <x:v>9.5</x:v>
      </x:c>
      <x:c r="S13" s="37" t="n">
        <x:v>3.83</x:v>
      </x:c>
      <x:c r="T13" s="37" t="n">
        <x:f>ROUND(R13-S13,2)</x:f>
        <x:v>5.67</x:v>
      </x:c>
    </x:row>
    <x:row r="14">
      <x:c r="A14" s="35" t="str">
        <x:v>CAF-0013</x:v>
      </x:c>
      <x:c r="B14" s="36" t="n">
        <x:v>46230</x:v>
      </x:c>
      <x:c r="C14" s="35" t="str">
        <x:v>10:50</x:v>
      </x:c>
      <x:c r="D14" s="35" t="str">
        <x:v>Balcão</x:v>
      </x:c>
      <x:c r="E14" s="35" t="str">
        <x:v>Pão de queijo</x:v>
      </x:c>
      <x:c r="F14" s="35" t="str">
        <x:v>Comidas</x:v>
      </x:c>
      <x:c r="G14" s="35" t="str">
        <x:v>Porção</x:v>
      </x:c>
      <x:c r="H14" s="35" t="n">
        <x:v>3</x:v>
      </x:c>
      <x:c r="I14" s="37" t="n">
        <x:v>8.5</x:v>
      </x:c>
      <x:c r="J14" s="38" t="n">
        <x:v>0</x:v>
      </x:c>
      <x:c r="K14" s="35" t="str">
        <x:v>Cartão de crédito</x:v>
      </x:c>
      <x:c r="L14" s="35" t="str">
        <x:v>Recorrente</x:v>
      </x:c>
      <x:c r="M14" s="35" t="str">
        <x:v>Concluído</x:v>
      </x:c>
      <x:c r="N14" s="35" t="n">
        <x:v>20</x:v>
      </x:c>
      <x:c r="O14" s="35" t="n">
        <x:v>3</x:v>
      </x:c>
      <x:c r="P14" s="37" t="n">
        <x:f>ROUND(H14*I14,2)</x:f>
        <x:v>25.5</x:v>
      </x:c>
      <x:c r="Q14" s="37" t="n">
        <x:f>ROUND(P14*J14,2)</x:f>
        <x:v>0</x:v>
      </x:c>
      <x:c r="R14" s="37" t="n">
        <x:f>ROUND(P14-Q14,2)</x:f>
        <x:v>25.5</x:v>
      </x:c>
      <x:c r="S14" s="37" t="n">
        <x:v>9.2</x:v>
      </x:c>
      <x:c r="T14" s="37" t="n">
        <x:f>ROUND(R14-S14,2)</x:f>
        <x:v>16.3</x:v>
      </x:c>
    </x:row>
    <x:row r="15">
      <x:c r="A15" s="35" t="str">
        <x:v>CAF-0014</x:v>
      </x:c>
      <x:c r="B15" s="36" t="n">
        <x:v>46225</x:v>
      </x:c>
      <x:c r="C15" s="35" t="str">
        <x:v>15:47</x:v>
      </x:c>
      <x:c r="D15" s="35" t="str">
        <x:v>Aplicativo</x:v>
      </x:c>
      <x:c r="E15" s="35" t="str">
        <x:v>Cappuccino</x:v>
      </x:c>
      <x:c r="F15" s="35" t="str">
        <x:v>Cafés</x:v>
      </x:c>
      <x:c r="G15" s="35" t="str">
        <x:v>Médio</x:v>
      </x:c>
      <x:c r="H15" s="35" t="n">
        <x:v>3</x:v>
      </x:c>
      <x:c r="I15" s="37" t="n">
        <x:v>12.9</x:v>
      </x:c>
      <x:c r="J15" s="38" t="n">
        <x:v>0</x:v>
      </x:c>
      <x:c r="K15" s="35" t="str">
        <x:v>Cartão de crédito</x:v>
      </x:c>
      <x:c r="L15" s="35" t="str">
        <x:v>Novo</x:v>
      </x:c>
      <x:c r="M15" s="35" t="str">
        <x:v>Concluído</x:v>
      </x:c>
      <x:c r="N15" s="35" t="n">
        <x:v>16</x:v>
      </x:c>
      <x:c r="O15" s="35" t="n">
        <x:v>5</x:v>
      </x:c>
      <x:c r="P15" s="37" t="n">
        <x:f>ROUND(H15*I15,2)</x:f>
        <x:v>38.7</x:v>
      </x:c>
      <x:c r="Q15" s="37" t="n">
        <x:f>ROUND(P15*J15,2)</x:f>
        <x:v>0</x:v>
      </x:c>
      <x:c r="R15" s="37" t="n">
        <x:f>ROUND(P15-Q15,2)</x:f>
        <x:v>38.7</x:v>
      </x:c>
      <x:c r="S15" s="37" t="n">
        <x:v>14.16</x:v>
      </x:c>
      <x:c r="T15" s="37" t="n">
        <x:f>ROUND(R15-S15,2)</x:f>
        <x:v>24.54</x:v>
      </x:c>
    </x:row>
    <x:row r="16">
      <x:c r="A16" s="35" t="str">
        <x:v>CAF-0015</x:v>
      </x:c>
      <x:c r="B16" s="36" t="n">
        <x:v>46228</x:v>
      </x:c>
      <x:c r="C16" s="35" t="str">
        <x:v>11:32</x:v>
      </x:c>
      <x:c r="D16" s="35" t="str">
        <x:v>Totem</x:v>
      </x:c>
      <x:c r="E16" s="35" t="str">
        <x:v>Bolo de chocolate</x:v>
      </x:c>
      <x:c r="F16" s="35" t="str">
        <x:v>Comidas</x:v>
      </x:c>
      <x:c r="G16" s="35" t="str">
        <x:v>Fatia</x:v>
      </x:c>
      <x:c r="H16" s="35" t="n">
        <x:v>2</x:v>
      </x:c>
      <x:c r="I16" s="37" t="n">
        <x:v>10.9</x:v>
      </x:c>
      <x:c r="J16" s="38" t="n">
        <x:v>0</x:v>
      </x:c>
      <x:c r="K16" s="35" t="str">
        <x:v>Cartão de crédito</x:v>
      </x:c>
      <x:c r="L16" s="35" t="str">
        <x:v>Recorrente</x:v>
      </x:c>
      <x:c r="M16" s="35" t="str">
        <x:v>Concluído</x:v>
      </x:c>
      <x:c r="N16" s="35" t="n">
        <x:v>20</x:v>
      </x:c>
      <x:c r="O16" s="35" t="n">
        <x:v>3</x:v>
      </x:c>
      <x:c r="P16" s="37" t="n">
        <x:f>ROUND(H16*I16,2)</x:f>
        <x:v>21.8</x:v>
      </x:c>
      <x:c r="Q16" s="37" t="n">
        <x:f>ROUND(P16*J16,2)</x:f>
        <x:v>0</x:v>
      </x:c>
      <x:c r="R16" s="37" t="n">
        <x:f>ROUND(P16-Q16,2)</x:f>
        <x:v>21.8</x:v>
      </x:c>
      <x:c r="S16" s="37" t="n">
        <x:v>7.89</x:v>
      </x:c>
      <x:c r="T16" s="37" t="n">
        <x:f>ROUND(R16-S16,2)</x:f>
        <x:v>13.91</x:v>
      </x:c>
    </x:row>
    <x:row r="17">
      <x:c r="A17" s="35" t="str">
        <x:v>CAF-0016</x:v>
      </x:c>
      <x:c r="B17" s="36" t="n">
        <x:v>46206</x:v>
      </x:c>
      <x:c r="C17" s="35" t="str">
        <x:v>11:35</x:v>
      </x:c>
      <x:c r="D17" s="35" t="str">
        <x:v>Aplicativo</x:v>
      </x:c>
      <x:c r="E17" s="35" t="str">
        <x:v>Bolo de chocolate</x:v>
      </x:c>
      <x:c r="F17" s="35" t="str">
        <x:v>Comidas</x:v>
      </x:c>
      <x:c r="G17" s="35" t="str">
        <x:v>Fatia</x:v>
      </x:c>
      <x:c r="H17" s="35" t="n">
        <x:v>1</x:v>
      </x:c>
      <x:c r="I17" s="37" t="n">
        <x:v>10.9</x:v>
      </x:c>
      <x:c r="J17" s="38" t="n">
        <x:v>0</x:v>
      </x:c>
      <x:c r="K17" s="35" t="str">
        <x:v>Pix</x:v>
      </x:c>
      <x:c r="L17" s="35" t="str">
        <x:v>Recorrente</x:v>
      </x:c>
      <x:c r="M17" s="35" t="str">
        <x:v>Concluído</x:v>
      </x:c>
      <x:c r="N17" s="35" t="n">
        <x:v>10</x:v>
      </x:c>
      <x:c r="O17" s="35" t="n">
        <x:v>4</x:v>
      </x:c>
      <x:c r="P17" s="37" t="n">
        <x:f>ROUND(H17*I17,2)</x:f>
        <x:v>10.9</x:v>
      </x:c>
      <x:c r="Q17" s="37" t="n">
        <x:f>ROUND(P17*J17,2)</x:f>
        <x:v>0</x:v>
      </x:c>
      <x:c r="R17" s="37" t="n">
        <x:f>ROUND(P17-Q17,2)</x:f>
        <x:v>10.9</x:v>
      </x:c>
      <x:c r="S17" s="37" t="n">
        <x:v>4.03</x:v>
      </x:c>
      <x:c r="T17" s="37" t="n">
        <x:f>ROUND(R17-S17,2)</x:f>
        <x:v>6.87</x:v>
      </x:c>
    </x:row>
    <x:row r="18">
      <x:c r="A18" s="35" t="str">
        <x:v>CAF-0017</x:v>
      </x:c>
      <x:c r="B18" s="36" t="n">
        <x:v>46230</x:v>
      </x:c>
      <x:c r="C18" s="35" t="str">
        <x:v>07:15</x:v>
      </x:c>
      <x:c r="D18" s="35" t="str">
        <x:v>Aplicativo</x:v>
      </x:c>
      <x:c r="E18" s="35" t="str">
        <x:v>Croissant</x:v>
      </x:c>
      <x:c r="F18" s="35" t="str">
        <x:v>Comidas</x:v>
      </x:c>
      <x:c r="G18" s="35" t="str">
        <x:v>Único</x:v>
      </x:c>
      <x:c r="H18" s="35" t="n">
        <x:v>2</x:v>
      </x:c>
      <x:c r="I18" s="37" t="n">
        <x:v>12.5</x:v>
      </x:c>
      <x:c r="J18" s="38" t="n">
        <x:v>0</x:v>
      </x:c>
      <x:c r="K18" s="35" t="str">
        <x:v>Cartão de crédito</x:v>
      </x:c>
      <x:c r="L18" s="35" t="str">
        <x:v>Programa de fidelidade</x:v>
      </x:c>
      <x:c r="M18" s="35" t="str">
        <x:v>Concluído</x:v>
      </x:c>
      <x:c r="N18" s="35" t="n">
        <x:v>10</x:v>
      </x:c>
      <x:c r="O18" s="35" t="n">
        <x:v>5</x:v>
      </x:c>
      <x:c r="P18" s="37" t="n">
        <x:f>ROUND(H18*I18,2)</x:f>
        <x:v>25</x:v>
      </x:c>
      <x:c r="Q18" s="37" t="n">
        <x:f>ROUND(P18*J18,2)</x:f>
        <x:v>0</x:v>
      </x:c>
      <x:c r="R18" s="37" t="n">
        <x:f>ROUND(P18-Q18,2)</x:f>
        <x:v>25</x:v>
      </x:c>
      <x:c r="S18" s="37" t="n">
        <x:v>9.75</x:v>
      </x:c>
      <x:c r="T18" s="37" t="n">
        <x:f>ROUND(R18-S18,2)</x:f>
        <x:v>15.25</x:v>
      </x:c>
    </x:row>
    <x:row r="19">
      <x:c r="A19" s="35" t="str">
        <x:v>CAF-0018</x:v>
      </x:c>
      <x:c r="B19" s="36" t="n">
        <x:v>46216</x:v>
      </x:c>
      <x:c r="C19" s="35" t="str">
        <x:v>11:39</x:v>
      </x:c>
      <x:c r="D19" s="35" t="str">
        <x:v>Aplicativo</x:v>
      </x:c>
      <x:c r="E19" s="35" t="str">
        <x:v>Pão de queijo</x:v>
      </x:c>
      <x:c r="F19" s="35" t="str">
        <x:v>Comidas</x:v>
      </x:c>
      <x:c r="G19" s="35" t="str">
        <x:v>Porção</x:v>
      </x:c>
      <x:c r="H19" s="35" t="n">
        <x:v>2</x:v>
      </x:c>
      <x:c r="I19" s="37" t="n">
        <x:v>8.5</x:v>
      </x:c>
      <x:c r="J19" s="38" t="n">
        <x:v>0.1</x:v>
      </x:c>
      <x:c r="K19" s="35" t="str">
        <x:v>Pix</x:v>
      </x:c>
      <x:c r="L19" s="35" t="str">
        <x:v>Recorrente</x:v>
      </x:c>
      <x:c r="M19" s="35" t="str">
        <x:v>Concluído</x:v>
      </x:c>
      <x:c r="N19" s="35" t="n">
        <x:v>18</x:v>
      </x:c>
      <x:c r="O19" s="35" t="n">
        <x:v>4</x:v>
      </x:c>
      <x:c r="P19" s="37" t="n">
        <x:f>ROUND(H19*I19,2)</x:f>
        <x:v>17</x:v>
      </x:c>
      <x:c r="Q19" s="37" t="n">
        <x:f>ROUND(P19*J19,2)</x:f>
        <x:v>1.7</x:v>
      </x:c>
      <x:c r="R19" s="37" t="n">
        <x:f>ROUND(P19-Q19,2)</x:f>
        <x:v>15.3</x:v>
      </x:c>
      <x:c r="S19" s="37" t="n">
        <x:v>6.5</x:v>
      </x:c>
      <x:c r="T19" s="37" t="n">
        <x:f>ROUND(R19-S19,2)</x:f>
        <x:v>8.8</x:v>
      </x:c>
    </x:row>
    <x:row r="20">
      <x:c r="A20" s="35" t="str">
        <x:v>CAF-0019</x:v>
      </x:c>
      <x:c r="B20" s="36" t="n">
        <x:v>46220</x:v>
      </x:c>
      <x:c r="C20" s="35" t="str">
        <x:v>08:10</x:v>
      </x:c>
      <x:c r="D20" s="35" t="str">
        <x:v>Totem</x:v>
      </x:c>
      <x:c r="E20" s="35" t="str">
        <x:v>Latte</x:v>
      </x:c>
      <x:c r="F20" s="35" t="str">
        <x:v>Cafés</x:v>
      </x:c>
      <x:c r="G20" s="35" t="str">
        <x:v>Médio</x:v>
      </x:c>
      <x:c r="H20" s="35" t="n">
        <x:v>3</x:v>
      </x:c>
      <x:c r="I20" s="37" t="n">
        <x:v>13.9</x:v>
      </x:c>
      <x:c r="J20" s="38" t="n">
        <x:v>0</x:v>
      </x:c>
      <x:c r="K20" s="35" t="str">
        <x:v>Cartão de débito</x:v>
      </x:c>
      <x:c r="L20" s="35" t="str">
        <x:v>Novo</x:v>
      </x:c>
      <x:c r="M20" s="35" t="str">
        <x:v>Concluído</x:v>
      </x:c>
      <x:c r="N20" s="35" t="n">
        <x:v>17</x:v>
      </x:c>
      <x:c r="O20" s="35" t="n">
        <x:v>3</x:v>
      </x:c>
      <x:c r="P20" s="37" t="n">
        <x:f>ROUND(H20*I20,2)</x:f>
        <x:v>41.7</x:v>
      </x:c>
      <x:c r="Q20" s="37" t="n">
        <x:f>ROUND(P20*J20,2)</x:f>
        <x:v>0</x:v>
      </x:c>
      <x:c r="R20" s="37" t="n">
        <x:f>ROUND(P20-Q20,2)</x:f>
        <x:v>41.7</x:v>
      </x:c>
      <x:c r="S20" s="37" t="n">
        <x:v>16.76</x:v>
      </x:c>
      <x:c r="T20" s="37" t="n">
        <x:f>ROUND(R20-S20,2)</x:f>
        <x:v>24.94</x:v>
      </x:c>
    </x:row>
    <x:row r="21">
      <x:c r="A21" s="35" t="str">
        <x:v>CAF-0020</x:v>
      </x:c>
      <x:c r="B21" s="36" t="n">
        <x:v>46232</x:v>
      </x:c>
      <x:c r="C21" s="35" t="str">
        <x:v>15:13</x:v>
      </x:c>
      <x:c r="D21" s="35" t="str">
        <x:v>Aplicativo</x:v>
      </x:c>
      <x:c r="E21" s="35" t="str">
        <x:v>Bolo de chocolate</x:v>
      </x:c>
      <x:c r="F21" s="35" t="str">
        <x:v>Comidas</x:v>
      </x:c>
      <x:c r="G21" s="35" t="str">
        <x:v>Fatia</x:v>
      </x:c>
      <x:c r="H21" s="35" t="n">
        <x:v>2</x:v>
      </x:c>
      <x:c r="I21" s="37" t="n">
        <x:v>10.9</x:v>
      </x:c>
      <x:c r="J21" s="38" t="n">
        <x:v>0</x:v>
      </x:c>
      <x:c r="K21" s="35" t="str">
        <x:v>Pix</x:v>
      </x:c>
      <x:c r="L21" s="35" t="str">
        <x:v>Programa de fidelidade</x:v>
      </x:c>
      <x:c r="M21" s="35" t="str">
        <x:v>Concluído</x:v>
      </x:c>
      <x:c r="N21" s="35" t="n">
        <x:v>11</x:v>
      </x:c>
      <x:c r="O21" s="35" t="n">
        <x:v>5</x:v>
      </x:c>
      <x:c r="P21" s="37" t="n">
        <x:f>ROUND(H21*I21,2)</x:f>
        <x:v>21.8</x:v>
      </x:c>
      <x:c r="Q21" s="37" t="n">
        <x:f>ROUND(P21*J21,2)</x:f>
        <x:v>0</x:v>
      </x:c>
      <x:c r="R21" s="37" t="n">
        <x:f>ROUND(P21-Q21,2)</x:f>
        <x:v>21.8</x:v>
      </x:c>
      <x:c r="S21" s="37" t="n">
        <x:v>9.92</x:v>
      </x:c>
      <x:c r="T21" s="37" t="n">
        <x:f>ROUND(R21-S21,2)</x:f>
        <x:v>11.88</x:v>
      </x:c>
    </x:row>
    <x:row r="22">
      <x:c r="A22" s="35" t="str">
        <x:v>CAF-0021</x:v>
      </x:c>
      <x:c r="B22" s="36" t="n">
        <x:v>46233</x:v>
      </x:c>
      <x:c r="C22" s="35" t="str">
        <x:v>13:48</x:v>
      </x:c>
      <x:c r="D22" s="35" t="str">
        <x:v>Totem</x:v>
      </x:c>
      <x:c r="E22" s="35" t="str">
        <x:v>Latte</x:v>
      </x:c>
      <x:c r="F22" s="35" t="str">
        <x:v>Cafés</x:v>
      </x:c>
      <x:c r="G22" s="35" t="str">
        <x:v>Médio</x:v>
      </x:c>
      <x:c r="H22" s="35" t="n">
        <x:v>4</x:v>
      </x:c>
      <x:c r="I22" s="37" t="n">
        <x:v>13.9</x:v>
      </x:c>
      <x:c r="J22" s="38" t="n">
        <x:v>0.05</x:v>
      </x:c>
      <x:c r="K22" s="35" t="str">
        <x:v>Cartão de débito</x:v>
      </x:c>
      <x:c r="L22" s="35" t="str">
        <x:v>Recorrente</x:v>
      </x:c>
      <x:c r="M22" s="35" t="str">
        <x:v>Concluído</x:v>
      </x:c>
      <x:c r="N22" s="35" t="n">
        <x:v>3</x:v>
      </x:c>
      <x:c r="O22" s="35" t="n">
        <x:v>4</x:v>
      </x:c>
      <x:c r="P22" s="37" t="n">
        <x:f>ROUND(H22*I22,2)</x:f>
        <x:v>55.6</x:v>
      </x:c>
      <x:c r="Q22" s="37" t="n">
        <x:f>ROUND(P22*J22,2)</x:f>
        <x:v>2.78</x:v>
      </x:c>
      <x:c r="R22" s="37" t="n">
        <x:f>ROUND(P22-Q22,2)</x:f>
        <x:v>52.82</x:v>
      </x:c>
      <x:c r="S22" s="37" t="n">
        <x:v>23.44</x:v>
      </x:c>
      <x:c r="T22" s="37" t="n">
        <x:f>ROUND(R22-S22,2)</x:f>
        <x:v>29.38</x:v>
      </x:c>
    </x:row>
    <x:row r="23">
      <x:c r="A23" s="35" t="str">
        <x:v>CAF-0022</x:v>
      </x:c>
      <x:c r="B23" s="36" t="n">
        <x:v>46234</x:v>
      </x:c>
      <x:c r="C23" s="35" t="str">
        <x:v>16:51</x:v>
      </x:c>
      <x:c r="D23" s="35" t="str">
        <x:v>Totem</x:v>
      </x:c>
      <x:c r="E23" s="35" t="str">
        <x:v>Cappuccino</x:v>
      </x:c>
      <x:c r="F23" s="35" t="str">
        <x:v>Cafés</x:v>
      </x:c>
      <x:c r="G23" s="35" t="str">
        <x:v>Médio</x:v>
      </x:c>
      <x:c r="H23" s="35" t="n">
        <x:v>1</x:v>
      </x:c>
      <x:c r="I23" s="37" t="n">
        <x:v>12.9</x:v>
      </x:c>
      <x:c r="J23" s="38" t="n">
        <x:v>0.05</x:v>
      </x:c>
      <x:c r="K23" s="35" t="str">
        <x:v>Cartão de crédito</x:v>
      </x:c>
      <x:c r="L23" s="35" t="str">
        <x:v>Programa de fidelidade</x:v>
      </x:c>
      <x:c r="M23" s="35" t="str">
        <x:v>Concluído</x:v>
      </x:c>
      <x:c r="N23" s="35" t="n">
        <x:v>7</x:v>
      </x:c>
      <x:c r="O23" s="35" t="n">
        <x:v>5</x:v>
      </x:c>
      <x:c r="P23" s="37" t="n">
        <x:f>ROUND(H23*I23,2)</x:f>
        <x:v>12.9</x:v>
      </x:c>
      <x:c r="Q23" s="37" t="n">
        <x:f>ROUND(P23*J23,2)</x:f>
        <x:v>0.65</x:v>
      </x:c>
      <x:c r="R23" s="37" t="n">
        <x:f>ROUND(P23-Q23,2)</x:f>
        <x:v>12.25</x:v>
      </x:c>
      <x:c r="S23" s="37" t="n">
        <x:v>5.56</x:v>
      </x:c>
      <x:c r="T23" s="37" t="n">
        <x:f>ROUND(R23-S23,2)</x:f>
        <x:v>6.69</x:v>
      </x:c>
    </x:row>
    <x:row r="24">
      <x:c r="A24" s="35" t="str">
        <x:v>CAF-0023</x:v>
      </x:c>
      <x:c r="B24" s="36" t="n">
        <x:v>46222</x:v>
      </x:c>
      <x:c r="C24" s="35" t="str">
        <x:v>16:11</x:v>
      </x:c>
      <x:c r="D24" s="35" t="str">
        <x:v>Totem</x:v>
      </x:c>
      <x:c r="E24" s="35" t="str">
        <x:v>Suco natural</x:v>
      </x:c>
      <x:c r="F24" s="35" t="str">
        <x:v>Bebidas frias</x:v>
      </x:c>
      <x:c r="G24" s="35" t="str">
        <x:v>Grande</x:v>
      </x:c>
      <x:c r="H24" s="35" t="n">
        <x:v>4</x:v>
      </x:c>
      <x:c r="I24" s="37" t="n">
        <x:v>11.9</x:v>
      </x:c>
      <x:c r="J24" s="38" t="n">
        <x:v>0</x:v>
      </x:c>
      <x:c r="K24" s="35" t="str">
        <x:v>Dinheiro</x:v>
      </x:c>
      <x:c r="L24" s="35" t="str">
        <x:v>Programa de fidelidade</x:v>
      </x:c>
      <x:c r="M24" s="35" t="str">
        <x:v>Cancelado</x:v>
      </x:c>
      <x:c r="N24" s="35" t="n">
        <x:v>16</x:v>
      </x:c>
      <x:c r="O24" s="35"/>
      <x:c r="P24" s="37" t="n">
        <x:f>ROUND(H24*I24,2)</x:f>
        <x:v>47.6</x:v>
      </x:c>
      <x:c r="Q24" s="37" t="n">
        <x:f>ROUND(P24*J24,2)</x:f>
        <x:v>0</x:v>
      </x:c>
      <x:c r="R24" s="37" t="n">
        <x:f>ROUND(P24-Q24,2)</x:f>
        <x:v>47.6</x:v>
      </x:c>
      <x:c r="S24" s="37" t="n">
        <x:v>19.81</x:v>
      </x:c>
      <x:c r="T24" s="37" t="n">
        <x:f>ROUND(R24-S24,2)</x:f>
        <x:v>27.79</x:v>
      </x:c>
    </x:row>
    <x:row r="25">
      <x:c r="A25" s="35" t="str">
        <x:v>CAF-0024</x:v>
      </x:c>
      <x:c r="B25" s="36" t="n">
        <x:v>46222</x:v>
      </x:c>
      <x:c r="C25" s="35" t="str">
        <x:v>11:31</x:v>
      </x:c>
      <x:c r="D25" s="35" t="str">
        <x:v>Delivery</x:v>
      </x:c>
      <x:c r="E25" s="35" t="str">
        <x:v>Croissant</x:v>
      </x:c>
      <x:c r="F25" s="35" t="str">
        <x:v>Comidas</x:v>
      </x:c>
      <x:c r="G25" s="35" t="str">
        <x:v>Único</x:v>
      </x:c>
      <x:c r="H25" s="35" t="n">
        <x:v>2</x:v>
      </x:c>
      <x:c r="I25" s="37" t="n">
        <x:v>12.5</x:v>
      </x:c>
      <x:c r="J25" s="38" t="n">
        <x:v>0</x:v>
      </x:c>
      <x:c r="K25" s="35" t="str">
        <x:v>Cartão de crédito</x:v>
      </x:c>
      <x:c r="L25" s="35" t="str">
        <x:v>Novo</x:v>
      </x:c>
      <x:c r="M25" s="35" t="str">
        <x:v>Concluído</x:v>
      </x:c>
      <x:c r="N25" s="35" t="n">
        <x:v>10</x:v>
      </x:c>
      <x:c r="O25" s="35" t="n">
        <x:v>5</x:v>
      </x:c>
      <x:c r="P25" s="37" t="n">
        <x:f>ROUND(H25*I25,2)</x:f>
        <x:v>25</x:v>
      </x:c>
      <x:c r="Q25" s="37" t="n">
        <x:f>ROUND(P25*J25,2)</x:f>
        <x:v>0</x:v>
      </x:c>
      <x:c r="R25" s="37" t="n">
        <x:f>ROUND(P25-Q25,2)</x:f>
        <x:v>25</x:v>
      </x:c>
      <x:c r="S25" s="37" t="n">
        <x:v>10.93</x:v>
      </x:c>
      <x:c r="T25" s="37" t="n">
        <x:f>ROUND(R25-S25,2)</x:f>
        <x:v>14.07</x:v>
      </x:c>
    </x:row>
    <x:row r="26">
      <x:c r="A26" s="35" t="str">
        <x:v>CAF-0025</x:v>
      </x:c>
      <x:c r="B26" s="36" t="n">
        <x:v>46218</x:v>
      </x:c>
      <x:c r="C26" s="35" t="str">
        <x:v>14:27</x:v>
      </x:c>
      <x:c r="D26" s="35" t="str">
        <x:v>Delivery</x:v>
      </x:c>
      <x:c r="E26" s="35" t="str">
        <x:v>Pão de queijo</x:v>
      </x:c>
      <x:c r="F26" s="35" t="str">
        <x:v>Comidas</x:v>
      </x:c>
      <x:c r="G26" s="35" t="str">
        <x:v>Porção</x:v>
      </x:c>
      <x:c r="H26" s="35" t="n">
        <x:v>4</x:v>
      </x:c>
      <x:c r="I26" s="37" t="n">
        <x:v>8.5</x:v>
      </x:c>
      <x:c r="J26" s="38" t="n">
        <x:v>0.05</x:v>
      </x:c>
      <x:c r="K26" s="35" t="str">
        <x:v>Cartão de débito</x:v>
      </x:c>
      <x:c r="L26" s="35" t="str">
        <x:v>Novo</x:v>
      </x:c>
      <x:c r="M26" s="35" t="str">
        <x:v>Concluído</x:v>
      </x:c>
      <x:c r="N26" s="35" t="n">
        <x:v>14</x:v>
      </x:c>
      <x:c r="O26" s="35" t="n">
        <x:v>5</x:v>
      </x:c>
      <x:c r="P26" s="37" t="n">
        <x:f>ROUND(H26*I26,2)</x:f>
        <x:v>34</x:v>
      </x:c>
      <x:c r="Q26" s="37" t="n">
        <x:f>ROUND(P26*J26,2)</x:f>
        <x:v>1.7</x:v>
      </x:c>
      <x:c r="R26" s="37" t="n">
        <x:f>ROUND(P26-Q26,2)</x:f>
        <x:v>32.3</x:v>
      </x:c>
      <x:c r="S26" s="37" t="n">
        <x:v>15.02</x:v>
      </x:c>
      <x:c r="T26" s="37" t="n">
        <x:f>ROUND(R26-S26,2)</x:f>
        <x:v>17.28</x:v>
      </x:c>
    </x:row>
    <x:row r="27">
      <x:c r="A27" s="35" t="str">
        <x:v>CAF-0026</x:v>
      </x:c>
      <x:c r="B27" s="36" t="n">
        <x:v>46231</x:v>
      </x:c>
      <x:c r="C27" s="35" t="str">
        <x:v>16:32</x:v>
      </x:c>
      <x:c r="D27" s="35" t="str">
        <x:v>Totem</x:v>
      </x:c>
      <x:c r="E27" s="35" t="str">
        <x:v>Cappuccino</x:v>
      </x:c>
      <x:c r="F27" s="35" t="str">
        <x:v>Cafés</x:v>
      </x:c>
      <x:c r="G27" s="35" t="str">
        <x:v>Médio</x:v>
      </x:c>
      <x:c r="H27" s="35" t="n">
        <x:v>2</x:v>
      </x:c>
      <x:c r="I27" s="37" t="n">
        <x:v>12.9</x:v>
      </x:c>
      <x:c r="J27" s="38" t="n">
        <x:v>0</x:v>
      </x:c>
      <x:c r="K27" s="35" t="str">
        <x:v>Pix</x:v>
      </x:c>
      <x:c r="L27" s="35" t="str">
        <x:v>Programa de fidelidade</x:v>
      </x:c>
      <x:c r="M27" s="35" t="str">
        <x:v>Concluído</x:v>
      </x:c>
      <x:c r="N27" s="35" t="n">
        <x:v>19</x:v>
      </x:c>
      <x:c r="O27" s="35" t="n">
        <x:v>5</x:v>
      </x:c>
      <x:c r="P27" s="37" t="n">
        <x:f>ROUND(H27*I27,2)</x:f>
        <x:v>25.8</x:v>
      </x:c>
      <x:c r="Q27" s="37" t="n">
        <x:f>ROUND(P27*J27,2)</x:f>
        <x:v>0</x:v>
      </x:c>
      <x:c r="R27" s="37" t="n">
        <x:f>ROUND(P27-Q27,2)</x:f>
        <x:v>25.8</x:v>
      </x:c>
      <x:c r="S27" s="37" t="n">
        <x:v>11.14</x:v>
      </x:c>
      <x:c r="T27" s="37" t="n">
        <x:f>ROUND(R27-S27,2)</x:f>
        <x:v>14.66</x:v>
      </x:c>
    </x:row>
    <x:row r="28">
      <x:c r="A28" s="35" t="str">
        <x:v>CAF-0027</x:v>
      </x:c>
      <x:c r="B28" s="36" t="n">
        <x:v>46214</x:v>
      </x:c>
      <x:c r="C28" s="35" t="str">
        <x:v>07:52</x:v>
      </x:c>
      <x:c r="D28" s="35" t="str">
        <x:v>Totem</x:v>
      </x:c>
      <x:c r="E28" s="35" t="str">
        <x:v>Mocha</x:v>
      </x:c>
      <x:c r="F28" s="35" t="str">
        <x:v>Cafés</x:v>
      </x:c>
      <x:c r="G28" s="35" t="str">
        <x:v>Médio</x:v>
      </x:c>
      <x:c r="H28" s="35" t="n">
        <x:v>3</x:v>
      </x:c>
      <x:c r="I28" s="37" t="n">
        <x:v>15.5</x:v>
      </x:c>
      <x:c r="J28" s="38" t="n">
        <x:v>0</x:v>
      </x:c>
      <x:c r="K28" s="35" t="str">
        <x:v>Cartão de débito</x:v>
      </x:c>
      <x:c r="L28" s="35" t="str">
        <x:v>Programa de fidelidade</x:v>
      </x:c>
      <x:c r="M28" s="35" t="str">
        <x:v>Concluído</x:v>
      </x:c>
      <x:c r="N28" s="35" t="n">
        <x:v>7</x:v>
      </x:c>
      <x:c r="O28" s="35" t="n">
        <x:v>3</x:v>
      </x:c>
      <x:c r="P28" s="37" t="n">
        <x:f>ROUND(H28*I28,2)</x:f>
        <x:v>46.5</x:v>
      </x:c>
      <x:c r="Q28" s="37" t="n">
        <x:f>ROUND(P28*J28,2)</x:f>
        <x:v>0</x:v>
      </x:c>
      <x:c r="R28" s="37" t="n">
        <x:f>ROUND(P28-Q28,2)</x:f>
        <x:v>46.5</x:v>
      </x:c>
      <x:c r="S28" s="37" t="n">
        <x:v>18.02</x:v>
      </x:c>
      <x:c r="T28" s="37" t="n">
        <x:f>ROUND(R28-S28,2)</x:f>
        <x:v>28.48</x:v>
      </x:c>
    </x:row>
    <x:row r="29">
      <x:c r="A29" s="35" t="str">
        <x:v>CAF-0028</x:v>
      </x:c>
      <x:c r="B29" s="36" t="n">
        <x:v>46233</x:v>
      </x:c>
      <x:c r="C29" s="35" t="str">
        <x:v>15:03</x:v>
      </x:c>
      <x:c r="D29" s="35" t="str">
        <x:v>Aplicativo</x:v>
      </x:c>
      <x:c r="E29" s="35" t="str">
        <x:v>Expresso</x:v>
      </x:c>
      <x:c r="F29" s="35" t="str">
        <x:v>Cafés</x:v>
      </x:c>
      <x:c r="G29" s="35" t="str">
        <x:v>Único</x:v>
      </x:c>
      <x:c r="H29" s="35" t="n">
        <x:v>3</x:v>
      </x:c>
      <x:c r="I29" s="37" t="n">
        <x:v>6.5</x:v>
      </x:c>
      <x:c r="J29" s="38" t="n">
        <x:v>0</x:v>
      </x:c>
      <x:c r="K29" s="35" t="str">
        <x:v>Cartão de débito</x:v>
      </x:c>
      <x:c r="L29" s="35" t="str">
        <x:v>Recorrente</x:v>
      </x:c>
      <x:c r="M29" s="35" t="str">
        <x:v>Concluído</x:v>
      </x:c>
      <x:c r="N29" s="35" t="n">
        <x:v>10</x:v>
      </x:c>
      <x:c r="O29" s="35" t="n">
        <x:v>4</x:v>
      </x:c>
      <x:c r="P29" s="37" t="n">
        <x:f>ROUND(H29*I29,2)</x:f>
        <x:v>19.5</x:v>
      </x:c>
      <x:c r="Q29" s="37" t="n">
        <x:f>ROUND(P29*J29,2)</x:f>
        <x:v>0</x:v>
      </x:c>
      <x:c r="R29" s="37" t="n">
        <x:f>ROUND(P29-Q29,2)</x:f>
        <x:v>19.5</x:v>
      </x:c>
      <x:c r="S29" s="37" t="n">
        <x:v>8.23</x:v>
      </x:c>
      <x:c r="T29" s="37" t="n">
        <x:f>ROUND(R29-S29,2)</x:f>
        <x:v>11.27</x:v>
      </x:c>
    </x:row>
    <x:row r="30">
      <x:c r="A30" s="35" t="str">
        <x:v>CAF-0029</x:v>
      </x:c>
      <x:c r="B30" s="36" t="n">
        <x:v>46220</x:v>
      </x:c>
      <x:c r="C30" s="35" t="str">
        <x:v>07:33</x:v>
      </x:c>
      <x:c r="D30" s="35" t="str">
        <x:v>Balcão</x:v>
      </x:c>
      <x:c r="E30" s="35" t="str">
        <x:v>Brownie</x:v>
      </x:c>
      <x:c r="F30" s="35" t="str">
        <x:v>Comidas</x:v>
      </x:c>
      <x:c r="G30" s="35" t="str">
        <x:v>Fatia</x:v>
      </x:c>
      <x:c r="H30" s="35" t="n">
        <x:v>3</x:v>
      </x:c>
      <x:c r="I30" s="37" t="n">
        <x:v>9.5</x:v>
      </x:c>
      <x:c r="J30" s="38" t="n">
        <x:v>0</x:v>
      </x:c>
      <x:c r="K30" s="35" t="str">
        <x:v>Cartão de crédito</x:v>
      </x:c>
      <x:c r="L30" s="35" t="str">
        <x:v>Programa de fidelidade</x:v>
      </x:c>
      <x:c r="M30" s="35" t="str">
        <x:v>Cancelado</x:v>
      </x:c>
      <x:c r="N30" s="35" t="n">
        <x:v>7</x:v>
      </x:c>
      <x:c r="O30" s="35"/>
      <x:c r="P30" s="37" t="n">
        <x:f>ROUND(H30*I30,2)</x:f>
        <x:v>28.5</x:v>
      </x:c>
      <x:c r="Q30" s="37" t="n">
        <x:f>ROUND(P30*J30,2)</x:f>
        <x:v>0</x:v>
      </x:c>
      <x:c r="R30" s="37" t="n">
        <x:f>ROUND(P30-Q30,2)</x:f>
        <x:v>28.5</x:v>
      </x:c>
      <x:c r="S30" s="37" t="n">
        <x:v>12.31</x:v>
      </x:c>
      <x:c r="T30" s="37" t="n">
        <x:f>ROUND(R30-S30,2)</x:f>
        <x:v>16.19</x:v>
      </x:c>
    </x:row>
    <x:row r="31">
      <x:c r="A31" s="35" t="str">
        <x:v>CAF-0030</x:v>
      </x:c>
      <x:c r="B31" s="36" t="n">
        <x:v>46234</x:v>
      </x:c>
      <x:c r="C31" s="35" t="str">
        <x:v>08:52</x:v>
      </x:c>
      <x:c r="D31" s="35" t="str">
        <x:v>Totem</x:v>
      </x:c>
      <x:c r="E31" s="35" t="str">
        <x:v>Bolo de chocolate</x:v>
      </x:c>
      <x:c r="F31" s="35" t="str">
        <x:v>Comidas</x:v>
      </x:c>
      <x:c r="G31" s="35" t="str">
        <x:v>Fatia</x:v>
      </x:c>
      <x:c r="H31" s="35" t="n">
        <x:v>4</x:v>
      </x:c>
      <x:c r="I31" s="37" t="n">
        <x:v>10.9</x:v>
      </x:c>
      <x:c r="J31" s="38" t="n">
        <x:v>0.05</x:v>
      </x:c>
      <x:c r="K31" s="35" t="str">
        <x:v>Dinheiro</x:v>
      </x:c>
      <x:c r="L31" s="35" t="str">
        <x:v>Programa de fidelidade</x:v>
      </x:c>
      <x:c r="M31" s="35" t="str">
        <x:v>Concluído</x:v>
      </x:c>
      <x:c r="N31" s="35" t="n">
        <x:v>9</x:v>
      </x:c>
      <x:c r="O31" s="35" t="n">
        <x:v>3</x:v>
      </x:c>
      <x:c r="P31" s="37" t="n">
        <x:f>ROUND(H31*I31,2)</x:f>
        <x:v>43.6</x:v>
      </x:c>
      <x:c r="Q31" s="37" t="n">
        <x:f>ROUND(P31*J31,2)</x:f>
        <x:v>2.18</x:v>
      </x:c>
      <x:c r="R31" s="37" t="n">
        <x:f>ROUND(P31-Q31,2)</x:f>
        <x:v>41.42</x:v>
      </x:c>
      <x:c r="S31" s="37" t="n">
        <x:v>19.09</x:v>
      </x:c>
      <x:c r="T31" s="37" t="n">
        <x:f>ROUND(R31-S31,2)</x:f>
        <x:v>22.33</x:v>
      </x:c>
    </x:row>
    <x:row r="32">
      <x:c r="A32" s="35" t="str">
        <x:v>CAF-0031</x:v>
      </x:c>
      <x:c r="B32" s="36" t="n">
        <x:v>46212</x:v>
      </x:c>
      <x:c r="C32" s="35" t="str">
        <x:v>08:14</x:v>
      </x:c>
      <x:c r="D32" s="35" t="str">
        <x:v>Balcão</x:v>
      </x:c>
      <x:c r="E32" s="35" t="str">
        <x:v>Cappuccino</x:v>
      </x:c>
      <x:c r="F32" s="35" t="str">
        <x:v>Cafés</x:v>
      </x:c>
      <x:c r="G32" s="35" t="str">
        <x:v>Médio</x:v>
      </x:c>
      <x:c r="H32" s="35" t="n">
        <x:v>4</x:v>
      </x:c>
      <x:c r="I32" s="37" t="n">
        <x:v>12.9</x:v>
      </x:c>
      <x:c r="J32" s="38" t="n">
        <x:v>0</x:v>
      </x:c>
      <x:c r="K32" s="35" t="str">
        <x:v>Pix</x:v>
      </x:c>
      <x:c r="L32" s="35" t="str">
        <x:v>Recorrente</x:v>
      </x:c>
      <x:c r="M32" s="35" t="str">
        <x:v>Concluído</x:v>
      </x:c>
      <x:c r="N32" s="35" t="n">
        <x:v>20</x:v>
      </x:c>
      <x:c r="O32" s="35" t="n">
        <x:v>3</x:v>
      </x:c>
      <x:c r="P32" s="37" t="n">
        <x:f>ROUND(H32*I32,2)</x:f>
        <x:v>51.6</x:v>
      </x:c>
      <x:c r="Q32" s="37" t="n">
        <x:f>ROUND(P32*J32,2)</x:f>
        <x:v>0</x:v>
      </x:c>
      <x:c r="R32" s="37" t="n">
        <x:f>ROUND(P32-Q32,2)</x:f>
        <x:v>51.6</x:v>
      </x:c>
      <x:c r="S32" s="37" t="n">
        <x:v>21.8</x:v>
      </x:c>
      <x:c r="T32" s="37" t="n">
        <x:f>ROUND(R32-S32,2)</x:f>
        <x:v>29.8</x:v>
      </x:c>
    </x:row>
    <x:row r="33">
      <x:c r="A33" s="35" t="str">
        <x:v>CAF-0032</x:v>
      </x:c>
      <x:c r="B33" s="36" t="n">
        <x:v>46234</x:v>
      </x:c>
      <x:c r="C33" s="35" t="str">
        <x:v>16:36</x:v>
      </x:c>
      <x:c r="D33" s="35" t="str">
        <x:v>Delivery</x:v>
      </x:c>
      <x:c r="E33" s="35" t="str">
        <x:v>Suco natural</x:v>
      </x:c>
      <x:c r="F33" s="35" t="str">
        <x:v>Bebidas frias</x:v>
      </x:c>
      <x:c r="G33" s="35" t="str">
        <x:v>Grande</x:v>
      </x:c>
      <x:c r="H33" s="35" t="n">
        <x:v>1</x:v>
      </x:c>
      <x:c r="I33" s="37" t="n">
        <x:v>11.9</x:v>
      </x:c>
      <x:c r="J33" s="38" t="n">
        <x:v>0</x:v>
      </x:c>
      <x:c r="K33" s="35" t="str">
        <x:v>Dinheiro</x:v>
      </x:c>
      <x:c r="L33" s="35" t="str">
        <x:v>Programa de fidelidade</x:v>
      </x:c>
      <x:c r="M33" s="35" t="str">
        <x:v>Cancelado</x:v>
      </x:c>
      <x:c r="N33" s="35" t="n">
        <x:v>7</x:v>
      </x:c>
      <x:c r="O33" s="35"/>
      <x:c r="P33" s="37" t="n">
        <x:f>ROUND(H33*I33,2)</x:f>
        <x:v>11.9</x:v>
      </x:c>
      <x:c r="Q33" s="37" t="n">
        <x:f>ROUND(P33*J33,2)</x:f>
        <x:v>0</x:v>
      </x:c>
      <x:c r="R33" s="37" t="n">
        <x:f>ROUND(P33-Q33,2)</x:f>
        <x:v>11.9</x:v>
      </x:c>
      <x:c r="S33" s="37" t="n">
        <x:v>4.57</x:v>
      </x:c>
      <x:c r="T33" s="37" t="n">
        <x:f>ROUND(R33-S33,2)</x:f>
        <x:v>7.33</x:v>
      </x:c>
    </x:row>
    <x:row r="34">
      <x:c r="A34" s="35" t="str">
        <x:v>CAF-0033</x:v>
      </x:c>
      <x:c r="B34" s="36" t="n">
        <x:v>46208</x:v>
      </x:c>
      <x:c r="C34" s="35" t="str">
        <x:v>09:25</x:v>
      </x:c>
      <x:c r="D34" s="35" t="str">
        <x:v>Aplicativo</x:v>
      </x:c>
      <x:c r="E34" s="35" t="str">
        <x:v>Brownie</x:v>
      </x:c>
      <x:c r="F34" s="35" t="str">
        <x:v>Comidas</x:v>
      </x:c>
      <x:c r="G34" s="35" t="str">
        <x:v>Fatia</x:v>
      </x:c>
      <x:c r="H34" s="35" t="n">
        <x:v>4</x:v>
      </x:c>
      <x:c r="I34" s="37" t="n">
        <x:v>9.5</x:v>
      </x:c>
      <x:c r="J34" s="38" t="n">
        <x:v>0.1</x:v>
      </x:c>
      <x:c r="K34" s="35" t="str">
        <x:v>Dinheiro</x:v>
      </x:c>
      <x:c r="L34" s="35" t="str">
        <x:v>Recorrente</x:v>
      </x:c>
      <x:c r="M34" s="35" t="str">
        <x:v>Concluído</x:v>
      </x:c>
      <x:c r="N34" s="35" t="n">
        <x:v>12</x:v>
      </x:c>
      <x:c r="O34" s="35" t="n">
        <x:v>3</x:v>
      </x:c>
      <x:c r="P34" s="37" t="n">
        <x:f>ROUND(H34*I34,2)</x:f>
        <x:v>38</x:v>
      </x:c>
      <x:c r="Q34" s="37" t="n">
        <x:f>ROUND(P34*J34,2)</x:f>
        <x:v>3.8</x:v>
      </x:c>
      <x:c r="R34" s="37" t="n">
        <x:f>ROUND(P34-Q34,2)</x:f>
        <x:v>34.2</x:v>
      </x:c>
      <x:c r="S34" s="37" t="n">
        <x:v>14.48</x:v>
      </x:c>
      <x:c r="T34" s="37" t="n">
        <x:f>ROUND(R34-S34,2)</x:f>
        <x:v>19.72</x:v>
      </x:c>
    </x:row>
    <x:row r="35">
      <x:c r="A35" s="35" t="str">
        <x:v>CAF-0034</x:v>
      </x:c>
      <x:c r="B35" s="36" t="n">
        <x:v>46234</x:v>
      </x:c>
      <x:c r="C35" s="35" t="str">
        <x:v>07:44</x:v>
      </x:c>
      <x:c r="D35" s="35" t="str">
        <x:v>Totem</x:v>
      </x:c>
      <x:c r="E35" s="35" t="str">
        <x:v>Cappuccino</x:v>
      </x:c>
      <x:c r="F35" s="35" t="str">
        <x:v>Cafés</x:v>
      </x:c>
      <x:c r="G35" s="35" t="str">
        <x:v>Médio</x:v>
      </x:c>
      <x:c r="H35" s="35" t="n">
        <x:v>4</x:v>
      </x:c>
      <x:c r="I35" s="37" t="n">
        <x:v>12.9</x:v>
      </x:c>
      <x:c r="J35" s="38" t="n">
        <x:v>0</x:v>
      </x:c>
      <x:c r="K35" s="35" t="str">
        <x:v>Dinheiro</x:v>
      </x:c>
      <x:c r="L35" s="35" t="str">
        <x:v>Novo</x:v>
      </x:c>
      <x:c r="M35" s="35" t="str">
        <x:v>Concluído</x:v>
      </x:c>
      <x:c r="N35" s="35" t="n">
        <x:v>16</x:v>
      </x:c>
      <x:c r="O35" s="35" t="n">
        <x:v>5</x:v>
      </x:c>
      <x:c r="P35" s="37" t="n">
        <x:f>ROUND(H35*I35,2)</x:f>
        <x:v>51.6</x:v>
      </x:c>
      <x:c r="Q35" s="37" t="n">
        <x:f>ROUND(P35*J35,2)</x:f>
        <x:v>0</x:v>
      </x:c>
      <x:c r="R35" s="37" t="n">
        <x:f>ROUND(P35-Q35,2)</x:f>
        <x:v>51.6</x:v>
      </x:c>
      <x:c r="S35" s="37" t="n">
        <x:v>19.21</x:v>
      </x:c>
      <x:c r="T35" s="37" t="n">
        <x:f>ROUND(R35-S35,2)</x:f>
        <x:v>32.39</x:v>
      </x:c>
    </x:row>
    <x:row r="36">
      <x:c r="A36" s="35" t="str">
        <x:v>CAF-0035</x:v>
      </x:c>
      <x:c r="B36" s="36" t="n">
        <x:v>46222</x:v>
      </x:c>
      <x:c r="C36" s="35" t="str">
        <x:v>13:07</x:v>
      </x:c>
      <x:c r="D36" s="35" t="str">
        <x:v>Balcão</x:v>
      </x:c>
      <x:c r="E36" s="35" t="str">
        <x:v>Brownie</x:v>
      </x:c>
      <x:c r="F36" s="35" t="str">
        <x:v>Comidas</x:v>
      </x:c>
      <x:c r="G36" s="35" t="str">
        <x:v>Fatia</x:v>
      </x:c>
      <x:c r="H36" s="35" t="n">
        <x:v>1</x:v>
      </x:c>
      <x:c r="I36" s="37" t="n">
        <x:v>9.5</x:v>
      </x:c>
      <x:c r="J36" s="38" t="n">
        <x:v>0</x:v>
      </x:c>
      <x:c r="K36" s="35" t="str">
        <x:v>Cartão de débito</x:v>
      </x:c>
      <x:c r="L36" s="35" t="str">
        <x:v>Novo</x:v>
      </x:c>
      <x:c r="M36" s="35" t="str">
        <x:v>Cancelado</x:v>
      </x:c>
      <x:c r="N36" s="35" t="n">
        <x:v>6</x:v>
      </x:c>
      <x:c r="O36" s="35"/>
      <x:c r="P36" s="37" t="n">
        <x:f>ROUND(H36*I36,2)</x:f>
        <x:v>9.5</x:v>
      </x:c>
      <x:c r="Q36" s="37" t="n">
        <x:f>ROUND(P36*J36,2)</x:f>
        <x:v>0</x:v>
      </x:c>
      <x:c r="R36" s="37" t="n">
        <x:f>ROUND(P36-Q36,2)</x:f>
        <x:v>9.5</x:v>
      </x:c>
      <x:c r="S36" s="37" t="n">
        <x:v>3.48</x:v>
      </x:c>
      <x:c r="T36" s="37" t="n">
        <x:f>ROUND(R36-S36,2)</x:f>
        <x:v>6.02</x:v>
      </x:c>
    </x:row>
    <x:row r="37">
      <x:c r="A37" s="35" t="str">
        <x:v>CAF-0036</x:v>
      </x:c>
      <x:c r="B37" s="36" t="n">
        <x:v>46208</x:v>
      </x:c>
      <x:c r="C37" s="35" t="str">
        <x:v>17:06</x:v>
      </x:c>
      <x:c r="D37" s="35" t="str">
        <x:v>Balcão</x:v>
      </x:c>
      <x:c r="E37" s="35" t="str">
        <x:v>Brownie</x:v>
      </x:c>
      <x:c r="F37" s="35" t="str">
        <x:v>Comidas</x:v>
      </x:c>
      <x:c r="G37" s="35" t="str">
        <x:v>Fatia</x:v>
      </x:c>
      <x:c r="H37" s="35" t="n">
        <x:v>4</x:v>
      </x:c>
      <x:c r="I37" s="37" t="n">
        <x:v>9.5</x:v>
      </x:c>
      <x:c r="J37" s="38" t="n">
        <x:v>0.05</x:v>
      </x:c>
      <x:c r="K37" s="35" t="str">
        <x:v>Cartão de débito</x:v>
      </x:c>
      <x:c r="L37" s="35" t="str">
        <x:v>Programa de fidelidade</x:v>
      </x:c>
      <x:c r="M37" s="35" t="str">
        <x:v>Concluído</x:v>
      </x:c>
      <x:c r="N37" s="35" t="n">
        <x:v>6</x:v>
      </x:c>
      <x:c r="O37" s="35" t="n">
        <x:v>4</x:v>
      </x:c>
      <x:c r="P37" s="37" t="n">
        <x:f>ROUND(H37*I37,2)</x:f>
        <x:v>38</x:v>
      </x:c>
      <x:c r="Q37" s="37" t="n">
        <x:f>ROUND(P37*J37,2)</x:f>
        <x:v>1.9</x:v>
      </x:c>
      <x:c r="R37" s="37" t="n">
        <x:f>ROUND(P37-Q37,2)</x:f>
        <x:v>36.1</x:v>
      </x:c>
      <x:c r="S37" s="37" t="n">
        <x:v>14.73</x:v>
      </x:c>
      <x:c r="T37" s="37" t="n">
        <x:f>ROUND(R37-S37,2)</x:f>
        <x:v>21.37</x:v>
      </x:c>
    </x:row>
    <x:row r="38">
      <x:c r="A38" s="35" t="str">
        <x:v>CAF-0037</x:v>
      </x:c>
      <x:c r="B38" s="36" t="n">
        <x:v>46219</x:v>
      </x:c>
      <x:c r="C38" s="35" t="str">
        <x:v>17:59</x:v>
      </x:c>
      <x:c r="D38" s="35" t="str">
        <x:v>Delivery</x:v>
      </x:c>
      <x:c r="E38" s="35" t="str">
        <x:v>Chá gelado</x:v>
      </x:c>
      <x:c r="F38" s="35" t="str">
        <x:v>Bebidas frias</x:v>
      </x:c>
      <x:c r="G38" s="35" t="str">
        <x:v>Médio</x:v>
      </x:c>
      <x:c r="H38" s="35" t="n">
        <x:v>1</x:v>
      </x:c>
      <x:c r="I38" s="37" t="n">
        <x:v>9.9</x:v>
      </x:c>
      <x:c r="J38" s="38" t="n">
        <x:v>0</x:v>
      </x:c>
      <x:c r="K38" s="35" t="str">
        <x:v>Cartão de crédito</x:v>
      </x:c>
      <x:c r="L38" s="35" t="str">
        <x:v>Programa de fidelidade</x:v>
      </x:c>
      <x:c r="M38" s="35" t="str">
        <x:v>Cancelado</x:v>
      </x:c>
      <x:c r="N38" s="35" t="n">
        <x:v>5</x:v>
      </x:c>
      <x:c r="O38" s="35"/>
      <x:c r="P38" s="37" t="n">
        <x:f>ROUND(H38*I38,2)</x:f>
        <x:v>9.9</x:v>
      </x:c>
      <x:c r="Q38" s="37" t="n">
        <x:f>ROUND(P38*J38,2)</x:f>
        <x:v>0</x:v>
      </x:c>
      <x:c r="R38" s="37" t="n">
        <x:f>ROUND(P38-Q38,2)</x:f>
        <x:v>9.9</x:v>
      </x:c>
      <x:c r="S38" s="37" t="n">
        <x:v>4.39</x:v>
      </x:c>
      <x:c r="T38" s="37" t="n">
        <x:f>ROUND(R38-S38,2)</x:f>
        <x:v>5.51</x:v>
      </x:c>
    </x:row>
    <x:row r="39">
      <x:c r="A39" s="35" t="str">
        <x:v>CAF-0038</x:v>
      </x:c>
      <x:c r="B39" s="36" t="n">
        <x:v>46233</x:v>
      </x:c>
      <x:c r="C39" s="35" t="str">
        <x:v>17:44</x:v>
      </x:c>
      <x:c r="D39" s="35" t="str">
        <x:v>Totem</x:v>
      </x:c>
      <x:c r="E39" s="35" t="str">
        <x:v>Sanduíche natural</x:v>
      </x:c>
      <x:c r="F39" s="35" t="str">
        <x:v>Comidas</x:v>
      </x:c>
      <x:c r="G39" s="35" t="str">
        <x:v>Único</x:v>
      </x:c>
      <x:c r="H39" s="35" t="n">
        <x:v>3</x:v>
      </x:c>
      <x:c r="I39" s="37" t="n">
        <x:v>18.9</x:v>
      </x:c>
      <x:c r="J39" s="38" t="n">
        <x:v>0</x:v>
      </x:c>
      <x:c r="K39" s="35" t="str">
        <x:v>Pix</x:v>
      </x:c>
      <x:c r="L39" s="35" t="str">
        <x:v>Novo</x:v>
      </x:c>
      <x:c r="M39" s="35" t="str">
        <x:v>Concluído</x:v>
      </x:c>
      <x:c r="N39" s="35" t="n">
        <x:v>5</x:v>
      </x:c>
      <x:c r="O39" s="35" t="n">
        <x:v>4</x:v>
      </x:c>
      <x:c r="P39" s="37" t="n">
        <x:f>ROUND(H39*I39,2)</x:f>
        <x:v>56.7</x:v>
      </x:c>
      <x:c r="Q39" s="37" t="n">
        <x:f>ROUND(P39*J39,2)</x:f>
        <x:v>0</x:v>
      </x:c>
      <x:c r="R39" s="37" t="n">
        <x:f>ROUND(P39-Q39,2)</x:f>
        <x:v>56.7</x:v>
      </x:c>
      <x:c r="S39" s="37" t="n">
        <x:v>24.29</x:v>
      </x:c>
      <x:c r="T39" s="37" t="n">
        <x:f>ROUND(R39-S39,2)</x:f>
        <x:v>32.41</x:v>
      </x:c>
    </x:row>
    <x:row r="40">
      <x:c r="A40" s="35" t="str">
        <x:v>CAF-0039</x:v>
      </x:c>
      <x:c r="B40" s="36" t="n">
        <x:v>46217</x:v>
      </x:c>
      <x:c r="C40" s="35" t="str">
        <x:v>15:20</x:v>
      </x:c>
      <x:c r="D40" s="35" t="str">
        <x:v>Balcão</x:v>
      </x:c>
      <x:c r="E40" s="35" t="str">
        <x:v>Cappuccino</x:v>
      </x:c>
      <x:c r="F40" s="35" t="str">
        <x:v>Cafés</x:v>
      </x:c>
      <x:c r="G40" s="35" t="str">
        <x:v>Médio</x:v>
      </x:c>
      <x:c r="H40" s="35" t="n">
        <x:v>3</x:v>
      </x:c>
      <x:c r="I40" s="37" t="n">
        <x:v>12.9</x:v>
      </x:c>
      <x:c r="J40" s="38" t="n">
        <x:v>0</x:v>
      </x:c>
      <x:c r="K40" s="35" t="str">
        <x:v>Cartão de crédito</x:v>
      </x:c>
      <x:c r="L40" s="35" t="str">
        <x:v>Programa de fidelidade</x:v>
      </x:c>
      <x:c r="M40" s="35" t="str">
        <x:v>Concluído</x:v>
      </x:c>
      <x:c r="N40" s="35" t="n">
        <x:v>12</x:v>
      </x:c>
      <x:c r="O40" s="35" t="n">
        <x:v>5</x:v>
      </x:c>
      <x:c r="P40" s="37" t="n">
        <x:f>ROUND(H40*I40,2)</x:f>
        <x:v>38.7</x:v>
      </x:c>
      <x:c r="Q40" s="37" t="n">
        <x:f>ROUND(P40*J40,2)</x:f>
        <x:v>0</x:v>
      </x:c>
      <x:c r="R40" s="37" t="n">
        <x:f>ROUND(P40-Q40,2)</x:f>
        <x:v>38.7</x:v>
      </x:c>
      <x:c r="S40" s="37" t="n">
        <x:v>17.02</x:v>
      </x:c>
      <x:c r="T40" s="37" t="n">
        <x:f>ROUND(R40-S40,2)</x:f>
        <x:v>21.68</x:v>
      </x:c>
    </x:row>
    <x:row r="41">
      <x:c r="A41" s="35" t="str">
        <x:v>CAF-0040</x:v>
      </x:c>
      <x:c r="B41" s="36" t="n">
        <x:v>46218</x:v>
      </x:c>
      <x:c r="C41" s="35" t="str">
        <x:v>09:06</x:v>
      </x:c>
      <x:c r="D41" s="35" t="str">
        <x:v>Delivery</x:v>
      </x:c>
      <x:c r="E41" s="35" t="str">
        <x:v>Mocha</x:v>
      </x:c>
      <x:c r="F41" s="35" t="str">
        <x:v>Cafés</x:v>
      </x:c>
      <x:c r="G41" s="35" t="str">
        <x:v>Médio</x:v>
      </x:c>
      <x:c r="H41" s="35" t="n">
        <x:v>2</x:v>
      </x:c>
      <x:c r="I41" s="37" t="n">
        <x:v>15.5</x:v>
      </x:c>
      <x:c r="J41" s="38" t="n">
        <x:v>0</x:v>
      </x:c>
      <x:c r="K41" s="35" t="str">
        <x:v>Cartão de débito</x:v>
      </x:c>
      <x:c r="L41" s="35" t="str">
        <x:v>Recorrente</x:v>
      </x:c>
      <x:c r="M41" s="35" t="str">
        <x:v>Concluído</x:v>
      </x:c>
      <x:c r="N41" s="35" t="n">
        <x:v>3</x:v>
      </x:c>
      <x:c r="O41" s="35" t="n">
        <x:v>4</x:v>
      </x:c>
      <x:c r="P41" s="37" t="n">
        <x:f>ROUND(H41*I41,2)</x:f>
        <x:v>31</x:v>
      </x:c>
      <x:c r="Q41" s="37" t="n">
        <x:f>ROUND(P41*J41,2)</x:f>
        <x:v>0</x:v>
      </x:c>
      <x:c r="R41" s="37" t="n">
        <x:f>ROUND(P41-Q41,2)</x:f>
        <x:v>31</x:v>
      </x:c>
      <x:c r="S41" s="37" t="n">
        <x:v>11.41</x:v>
      </x:c>
      <x:c r="T41" s="37" t="n">
        <x:f>ROUND(R41-S41,2)</x:f>
        <x:v>19.59</x:v>
      </x:c>
    </x:row>
    <x:row r="42">
      <x:c r="A42" s="35" t="str">
        <x:v>CAF-0041</x:v>
      </x:c>
      <x:c r="B42" s="36" t="n">
        <x:v>46229</x:v>
      </x:c>
      <x:c r="C42" s="35" t="str">
        <x:v>08:45</x:v>
      </x:c>
      <x:c r="D42" s="35" t="str">
        <x:v>Totem</x:v>
      </x:c>
      <x:c r="E42" s="35" t="str">
        <x:v>Sanduíche natural</x:v>
      </x:c>
      <x:c r="F42" s="35" t="str">
        <x:v>Comidas</x:v>
      </x:c>
      <x:c r="G42" s="35" t="str">
        <x:v>Único</x:v>
      </x:c>
      <x:c r="H42" s="35" t="n">
        <x:v>2</x:v>
      </x:c>
      <x:c r="I42" s="37" t="n">
        <x:v>18.9</x:v>
      </x:c>
      <x:c r="J42" s="38" t="n">
        <x:v>0.05</x:v>
      </x:c>
      <x:c r="K42" s="35" t="str">
        <x:v>Cartão de débito</x:v>
      </x:c>
      <x:c r="L42" s="35" t="str">
        <x:v>Novo</x:v>
      </x:c>
      <x:c r="M42" s="35" t="str">
        <x:v>Concluído</x:v>
      </x:c>
      <x:c r="N42" s="35" t="n">
        <x:v>19</x:v>
      </x:c>
      <x:c r="O42" s="35" t="n">
        <x:v>3</x:v>
      </x:c>
      <x:c r="P42" s="37" t="n">
        <x:f>ROUND(H42*I42,2)</x:f>
        <x:v>37.8</x:v>
      </x:c>
      <x:c r="Q42" s="37" t="n">
        <x:f>ROUND(P42*J42,2)</x:f>
        <x:v>1.89</x:v>
      </x:c>
      <x:c r="R42" s="37" t="n">
        <x:f>ROUND(P42-Q42,2)</x:f>
        <x:v>35.91</x:v>
      </x:c>
      <x:c r="S42" s="37" t="n">
        <x:v>17.08</x:v>
      </x:c>
      <x:c r="T42" s="37" t="n">
        <x:f>ROUND(R42-S42,2)</x:f>
        <x:v>18.83</x:v>
      </x:c>
    </x:row>
    <x:row r="43">
      <x:c r="A43" s="35" t="str">
        <x:v>CAF-0042</x:v>
      </x:c>
      <x:c r="B43" s="36" t="n">
        <x:v>46233</x:v>
      </x:c>
      <x:c r="C43" s="35" t="str">
        <x:v>13:40</x:v>
      </x:c>
      <x:c r="D43" s="35" t="str">
        <x:v>Delivery</x:v>
      </x:c>
      <x:c r="E43" s="35" t="str">
        <x:v>Chá gelado</x:v>
      </x:c>
      <x:c r="F43" s="35" t="str">
        <x:v>Bebidas frias</x:v>
      </x:c>
      <x:c r="G43" s="35" t="str">
        <x:v>Médio</x:v>
      </x:c>
      <x:c r="H43" s="35" t="n">
        <x:v>3</x:v>
      </x:c>
      <x:c r="I43" s="37" t="n">
        <x:v>9.9</x:v>
      </x:c>
      <x:c r="J43" s="38" t="n">
        <x:v>0</x:v>
      </x:c>
      <x:c r="K43" s="35" t="str">
        <x:v>Cartão de crédito</x:v>
      </x:c>
      <x:c r="L43" s="35" t="str">
        <x:v>Recorrente</x:v>
      </x:c>
      <x:c r="M43" s="35" t="str">
        <x:v>Cancelado</x:v>
      </x:c>
      <x:c r="N43" s="35" t="n">
        <x:v>15</x:v>
      </x:c>
      <x:c r="O43" s="35"/>
      <x:c r="P43" s="37" t="n">
        <x:f>ROUND(H43*I43,2)</x:f>
        <x:v>29.7</x:v>
      </x:c>
      <x:c r="Q43" s="37" t="n">
        <x:f>ROUND(P43*J43,2)</x:f>
        <x:v>0</x:v>
      </x:c>
      <x:c r="R43" s="37" t="n">
        <x:f>ROUND(P43-Q43,2)</x:f>
        <x:v>29.7</x:v>
      </x:c>
      <x:c r="S43" s="37" t="n">
        <x:v>13.76</x:v>
      </x:c>
      <x:c r="T43" s="37" t="n">
        <x:f>ROUND(R43-S43,2)</x:f>
        <x:v>15.94</x:v>
      </x:c>
    </x:row>
    <x:row r="44">
      <x:c r="A44" s="35" t="str">
        <x:v>CAF-0043</x:v>
      </x:c>
      <x:c r="B44" s="36" t="n">
        <x:v>46225</x:v>
      </x:c>
      <x:c r="C44" s="35" t="str">
        <x:v>13:05</x:v>
      </x:c>
      <x:c r="D44" s="35" t="str">
        <x:v>Aplicativo</x:v>
      </x:c>
      <x:c r="E44" s="35" t="str">
        <x:v>Pão de queijo</x:v>
      </x:c>
      <x:c r="F44" s="35" t="str">
        <x:v>Comidas</x:v>
      </x:c>
      <x:c r="G44" s="35" t="str">
        <x:v>Porção</x:v>
      </x:c>
      <x:c r="H44" s="35" t="n">
        <x:v>2</x:v>
      </x:c>
      <x:c r="I44" s="37" t="n">
        <x:v>8.5</x:v>
      </x:c>
      <x:c r="J44" s="38" t="n">
        <x:v>0.05</x:v>
      </x:c>
      <x:c r="K44" s="35" t="str">
        <x:v>Dinheiro</x:v>
      </x:c>
      <x:c r="L44" s="35" t="str">
        <x:v>Recorrente</x:v>
      </x:c>
      <x:c r="M44" s="35" t="str">
        <x:v>Concluído</x:v>
      </x:c>
      <x:c r="N44" s="35" t="n">
        <x:v>13</x:v>
      </x:c>
      <x:c r="O44" s="35" t="n">
        <x:v>3</x:v>
      </x:c>
      <x:c r="P44" s="37" t="n">
        <x:f>ROUND(H44*I44,2)</x:f>
        <x:v>17</x:v>
      </x:c>
      <x:c r="Q44" s="37" t="n">
        <x:f>ROUND(P44*J44,2)</x:f>
        <x:v>0.85</x:v>
      </x:c>
      <x:c r="R44" s="37" t="n">
        <x:f>ROUND(P44-Q44,2)</x:f>
        <x:v>16.15</x:v>
      </x:c>
      <x:c r="S44" s="37" t="n">
        <x:v>7.15</x:v>
      </x:c>
      <x:c r="T44" s="37" t="n">
        <x:f>ROUND(R44-S44,2)</x:f>
        <x:v>9</x:v>
      </x:c>
    </x:row>
    <x:row r="45">
      <x:c r="A45" s="35" t="str">
        <x:v>CAF-0044</x:v>
      </x:c>
      <x:c r="B45" s="36" t="n">
        <x:v>46229</x:v>
      </x:c>
      <x:c r="C45" s="35" t="str">
        <x:v>07:41</x:v>
      </x:c>
      <x:c r="D45" s="35" t="str">
        <x:v>Balcão</x:v>
      </x:c>
      <x:c r="E45" s="35" t="str">
        <x:v>Expresso</x:v>
      </x:c>
      <x:c r="F45" s="35" t="str">
        <x:v>Cafés</x:v>
      </x:c>
      <x:c r="G45" s="35" t="str">
        <x:v>Único</x:v>
      </x:c>
      <x:c r="H45" s="35" t="n">
        <x:v>2</x:v>
      </x:c>
      <x:c r="I45" s="37" t="n">
        <x:v>6.5</x:v>
      </x:c>
      <x:c r="J45" s="38" t="n">
        <x:v>0</x:v>
      </x:c>
      <x:c r="K45" s="35" t="str">
        <x:v>Cartão de débito</x:v>
      </x:c>
      <x:c r="L45" s="35" t="str">
        <x:v>Recorrente</x:v>
      </x:c>
      <x:c r="M45" s="35" t="str">
        <x:v>Concluído</x:v>
      </x:c>
      <x:c r="N45" s="35" t="n">
        <x:v>11</x:v>
      </x:c>
      <x:c r="O45" s="35" t="n">
        <x:v>4</x:v>
      </x:c>
      <x:c r="P45" s="37" t="n">
        <x:f>ROUND(H45*I45,2)</x:f>
        <x:v>13</x:v>
      </x:c>
      <x:c r="Q45" s="37" t="n">
        <x:f>ROUND(P45*J45,2)</x:f>
        <x:v>0</x:v>
      </x:c>
      <x:c r="R45" s="37" t="n">
        <x:f>ROUND(P45-Q45,2)</x:f>
        <x:v>13</x:v>
      </x:c>
      <x:c r="S45" s="37" t="n">
        <x:v>5.37</x:v>
      </x:c>
      <x:c r="T45" s="37" t="n">
        <x:f>ROUND(R45-S45,2)</x:f>
        <x:v>7.63</x:v>
      </x:c>
    </x:row>
    <x:row r="46">
      <x:c r="A46" s="35" t="str">
        <x:v>CAF-0045</x:v>
      </x:c>
      <x:c r="B46" s="36" t="n">
        <x:v>46209</x:v>
      </x:c>
      <x:c r="C46" s="35" t="str">
        <x:v>08:08</x:v>
      </x:c>
      <x:c r="D46" s="35" t="str">
        <x:v>Totem</x:v>
      </x:c>
      <x:c r="E46" s="35" t="str">
        <x:v>Suco natural</x:v>
      </x:c>
      <x:c r="F46" s="35" t="str">
        <x:v>Bebidas frias</x:v>
      </x:c>
      <x:c r="G46" s="35" t="str">
        <x:v>Grande</x:v>
      </x:c>
      <x:c r="H46" s="35" t="n">
        <x:v>2</x:v>
      </x:c>
      <x:c r="I46" s="37" t="n">
        <x:v>11.9</x:v>
      </x:c>
      <x:c r="J46" s="38" t="n">
        <x:v>0</x:v>
      </x:c>
      <x:c r="K46" s="35" t="str">
        <x:v>Cartão de débito</x:v>
      </x:c>
      <x:c r="L46" s="35" t="str">
        <x:v>Programa de fidelidade</x:v>
      </x:c>
      <x:c r="M46" s="35" t="str">
        <x:v>Concluído</x:v>
      </x:c>
      <x:c r="N46" s="35" t="n">
        <x:v>9</x:v>
      </x:c>
      <x:c r="O46" s="35" t="n">
        <x:v>4</x:v>
      </x:c>
      <x:c r="P46" s="37" t="n">
        <x:f>ROUND(H46*I46,2)</x:f>
        <x:v>23.8</x:v>
      </x:c>
      <x:c r="Q46" s="37" t="n">
        <x:f>ROUND(P46*J46,2)</x:f>
        <x:v>0</x:v>
      </x:c>
      <x:c r="R46" s="37" t="n">
        <x:f>ROUND(P46-Q46,2)</x:f>
        <x:v>23.8</x:v>
      </x:c>
      <x:c r="S46" s="37" t="n">
        <x:v>10.59</x:v>
      </x:c>
      <x:c r="T46" s="37" t="n">
        <x:f>ROUND(R46-S46,2)</x:f>
        <x:v>13.21</x:v>
      </x:c>
    </x:row>
    <x:row r="47">
      <x:c r="A47" s="35" t="str">
        <x:v>CAF-0046</x:v>
      </x:c>
      <x:c r="B47" s="36" t="n">
        <x:v>46234</x:v>
      </x:c>
      <x:c r="C47" s="35" t="str">
        <x:v>10:24</x:v>
      </x:c>
      <x:c r="D47" s="35" t="str">
        <x:v>Aplicativo</x:v>
      </x:c>
      <x:c r="E47" s="35" t="str">
        <x:v>Suco natural</x:v>
      </x:c>
      <x:c r="F47" s="35" t="str">
        <x:v>Bebidas frias</x:v>
      </x:c>
      <x:c r="G47" s="35" t="str">
        <x:v>Grande</x:v>
      </x:c>
      <x:c r="H47" s="35" t="n">
        <x:v>2</x:v>
      </x:c>
      <x:c r="I47" s="37" t="n">
        <x:v>11.9</x:v>
      </x:c>
      <x:c r="J47" s="38" t="n">
        <x:v>0.1</x:v>
      </x:c>
      <x:c r="K47" s="35" t="str">
        <x:v>Cartão de crédito</x:v>
      </x:c>
      <x:c r="L47" s="35" t="str">
        <x:v>Recorrente</x:v>
      </x:c>
      <x:c r="M47" s="35" t="str">
        <x:v>Concluído</x:v>
      </x:c>
      <x:c r="N47" s="35" t="n">
        <x:v>14</x:v>
      </x:c>
      <x:c r="O47" s="35" t="n">
        <x:v>3</x:v>
      </x:c>
      <x:c r="P47" s="37" t="n">
        <x:f>ROUND(H47*I47,2)</x:f>
        <x:v>23.8</x:v>
      </x:c>
      <x:c r="Q47" s="37" t="n">
        <x:f>ROUND(P47*J47,2)</x:f>
        <x:v>2.38</x:v>
      </x:c>
      <x:c r="R47" s="37" t="n">
        <x:f>ROUND(P47-Q47,2)</x:f>
        <x:v>21.42</x:v>
      </x:c>
      <x:c r="S47" s="37" t="n">
        <x:v>10.96</x:v>
      </x:c>
      <x:c r="T47" s="37" t="n">
        <x:f>ROUND(R47-S47,2)</x:f>
        <x:v>10.46</x:v>
      </x:c>
    </x:row>
    <x:row r="48">
      <x:c r="A48" s="35" t="str">
        <x:v>CAF-0047</x:v>
      </x:c>
      <x:c r="B48" s="36" t="n">
        <x:v>46233</x:v>
      </x:c>
      <x:c r="C48" s="35" t="str">
        <x:v>10:00</x:v>
      </x:c>
      <x:c r="D48" s="35" t="str">
        <x:v>Aplicativo</x:v>
      </x:c>
      <x:c r="E48" s="35" t="str">
        <x:v>Chá gelado</x:v>
      </x:c>
      <x:c r="F48" s="35" t="str">
        <x:v>Bebidas frias</x:v>
      </x:c>
      <x:c r="G48" s="35" t="str">
        <x:v>Médio</x:v>
      </x:c>
      <x:c r="H48" s="35" t="n">
        <x:v>2</x:v>
      </x:c>
      <x:c r="I48" s="37" t="n">
        <x:v>9.9</x:v>
      </x:c>
      <x:c r="J48" s="38" t="n">
        <x:v>0.1</x:v>
      </x:c>
      <x:c r="K48" s="35" t="str">
        <x:v>Cartão de débito</x:v>
      </x:c>
      <x:c r="L48" s="35" t="str">
        <x:v>Novo</x:v>
      </x:c>
      <x:c r="M48" s="35" t="str">
        <x:v>Concluído</x:v>
      </x:c>
      <x:c r="N48" s="35" t="n">
        <x:v>6</x:v>
      </x:c>
      <x:c r="O48" s="35" t="n">
        <x:v>5</x:v>
      </x:c>
      <x:c r="P48" s="37" t="n">
        <x:f>ROUND(H48*I48,2)</x:f>
        <x:v>19.8</x:v>
      </x:c>
      <x:c r="Q48" s="37" t="n">
        <x:f>ROUND(P48*J48,2)</x:f>
        <x:v>1.98</x:v>
      </x:c>
      <x:c r="R48" s="37" t="n">
        <x:f>ROUND(P48-Q48,2)</x:f>
        <x:v>17.82</x:v>
      </x:c>
      <x:c r="S48" s="37" t="n">
        <x:v>8.59</x:v>
      </x:c>
      <x:c r="T48" s="37" t="n">
        <x:f>ROUND(R48-S48,2)</x:f>
        <x:v>9.23</x:v>
      </x:c>
    </x:row>
    <x:row r="49">
      <x:c r="A49" s="35" t="str">
        <x:v>CAF-0048</x:v>
      </x:c>
      <x:c r="B49" s="36" t="n">
        <x:v>46221</x:v>
      </x:c>
      <x:c r="C49" s="35" t="str">
        <x:v>17:24</x:v>
      </x:c>
      <x:c r="D49" s="35" t="str">
        <x:v>Delivery</x:v>
      </x:c>
      <x:c r="E49" s="35" t="str">
        <x:v>Croissant</x:v>
      </x:c>
      <x:c r="F49" s="35" t="str">
        <x:v>Comidas</x:v>
      </x:c>
      <x:c r="G49" s="35" t="str">
        <x:v>Único</x:v>
      </x:c>
      <x:c r="H49" s="35" t="n">
        <x:v>4</x:v>
      </x:c>
      <x:c r="I49" s="37" t="n">
        <x:v>12.5</x:v>
      </x:c>
      <x:c r="J49" s="38" t="n">
        <x:v>0</x:v>
      </x:c>
      <x:c r="K49" s="35" t="str">
        <x:v>Pix</x:v>
      </x:c>
      <x:c r="L49" s="35" t="str">
        <x:v>Novo</x:v>
      </x:c>
      <x:c r="M49" s="35" t="str">
        <x:v>Concluído</x:v>
      </x:c>
      <x:c r="N49" s="35" t="n">
        <x:v>5</x:v>
      </x:c>
      <x:c r="O49" s="35" t="n">
        <x:v>3</x:v>
      </x:c>
      <x:c r="P49" s="37" t="n">
        <x:f>ROUND(H49*I49,2)</x:f>
        <x:v>50</x:v>
      </x:c>
      <x:c r="Q49" s="37" t="n">
        <x:f>ROUND(P49*J49,2)</x:f>
        <x:v>0</x:v>
      </x:c>
      <x:c r="R49" s="37" t="n">
        <x:f>ROUND(P49-Q49,2)</x:f>
        <x:v>50</x:v>
      </x:c>
      <x:c r="S49" s="37" t="n">
        <x:v>22.75</x:v>
      </x:c>
      <x:c r="T49" s="37" t="n">
        <x:f>ROUND(R49-S49,2)</x:f>
        <x:v>27.25</x:v>
      </x:c>
    </x:row>
    <x:row r="50">
      <x:c r="A50" s="35" t="str">
        <x:v>CAF-0049</x:v>
      </x:c>
      <x:c r="B50" s="36" t="n">
        <x:v>46229</x:v>
      </x:c>
      <x:c r="C50" s="35" t="str">
        <x:v>15:26</x:v>
      </x:c>
      <x:c r="D50" s="35" t="str">
        <x:v>Balcão</x:v>
      </x:c>
      <x:c r="E50" s="35" t="str">
        <x:v>Expresso</x:v>
      </x:c>
      <x:c r="F50" s="35" t="str">
        <x:v>Cafés</x:v>
      </x:c>
      <x:c r="G50" s="35" t="str">
        <x:v>Único</x:v>
      </x:c>
      <x:c r="H50" s="35" t="n">
        <x:v>1</x:v>
      </x:c>
      <x:c r="I50" s="37" t="n">
        <x:v>6.5</x:v>
      </x:c>
      <x:c r="J50" s="38" t="n">
        <x:v>0</x:v>
      </x:c>
      <x:c r="K50" s="35" t="str">
        <x:v>Cartão de crédito</x:v>
      </x:c>
      <x:c r="L50" s="35" t="str">
        <x:v>Programa de fidelidade</x:v>
      </x:c>
      <x:c r="M50" s="35" t="str">
        <x:v>Concluído</x:v>
      </x:c>
      <x:c r="N50" s="35" t="n">
        <x:v>20</x:v>
      </x:c>
      <x:c r="O50" s="35" t="n">
        <x:v>5</x:v>
      </x:c>
      <x:c r="P50" s="37" t="n">
        <x:f>ROUND(H50*I50,2)</x:f>
        <x:v>6.5</x:v>
      </x:c>
      <x:c r="Q50" s="37" t="n">
        <x:f>ROUND(P50*J50,2)</x:f>
        <x:v>0</x:v>
      </x:c>
      <x:c r="R50" s="37" t="n">
        <x:f>ROUND(P50-Q50,2)</x:f>
        <x:v>6.5</x:v>
      </x:c>
      <x:c r="S50" s="37" t="n">
        <x:v>2.44</x:v>
      </x:c>
      <x:c r="T50" s="37" t="n">
        <x:f>ROUND(R50-S50,2)</x:f>
        <x:v>4.06</x:v>
      </x:c>
    </x:row>
    <x:row r="51">
      <x:c r="A51" s="35" t="str">
        <x:v>CAF-0050</x:v>
      </x:c>
      <x:c r="B51" s="36" t="n">
        <x:v>46215</x:v>
      </x:c>
      <x:c r="C51" s="35" t="str">
        <x:v>11:06</x:v>
      </x:c>
      <x:c r="D51" s="35" t="str">
        <x:v>Delivery</x:v>
      </x:c>
      <x:c r="E51" s="35" t="str">
        <x:v>Brownie</x:v>
      </x:c>
      <x:c r="F51" s="35" t="str">
        <x:v>Comidas</x:v>
      </x:c>
      <x:c r="G51" s="35" t="str">
        <x:v>Fatia</x:v>
      </x:c>
      <x:c r="H51" s="35" t="n">
        <x:v>2</x:v>
      </x:c>
      <x:c r="I51" s="37" t="n">
        <x:v>9.5</x:v>
      </x:c>
      <x:c r="J51" s="38" t="n">
        <x:v>0</x:v>
      </x:c>
      <x:c r="K51" s="35" t="str">
        <x:v>Cartão de crédito</x:v>
      </x:c>
      <x:c r="L51" s="35" t="str">
        <x:v>Recorrente</x:v>
      </x:c>
      <x:c r="M51" s="35" t="str">
        <x:v>Concluído</x:v>
      </x:c>
      <x:c r="N51" s="35" t="n">
        <x:v>15</x:v>
      </x:c>
      <x:c r="O51" s="35" t="n">
        <x:v>5</x:v>
      </x:c>
      <x:c r="P51" s="37" t="n">
        <x:f>ROUND(H51*I51,2)</x:f>
        <x:v>19</x:v>
      </x:c>
      <x:c r="Q51" s="37" t="n">
        <x:f>ROUND(P51*J51,2)</x:f>
        <x:v>0</x:v>
      </x:c>
      <x:c r="R51" s="37" t="n">
        <x:f>ROUND(P51-Q51,2)</x:f>
        <x:v>19</x:v>
      </x:c>
      <x:c r="S51" s="37" t="n">
        <x:v>8.89</x:v>
      </x:c>
      <x:c r="T51" s="37" t="n">
        <x:f>ROUND(R51-S51,2)</x:f>
        <x:v>10.11</x:v>
      </x:c>
    </x:row>
    <x:row r="52">
      <x:c r="A52" s="35" t="str">
        <x:v>CAF-0051</x:v>
      </x:c>
      <x:c r="B52" s="36" t="n">
        <x:v>46214</x:v>
      </x:c>
      <x:c r="C52" s="35" t="str">
        <x:v>12:11</x:v>
      </x:c>
      <x:c r="D52" s="35" t="str">
        <x:v>Balcão</x:v>
      </x:c>
      <x:c r="E52" s="35" t="str">
        <x:v>Cappuccino</x:v>
      </x:c>
      <x:c r="F52" s="35" t="str">
        <x:v>Cafés</x:v>
      </x:c>
      <x:c r="G52" s="35" t="str">
        <x:v>Médio</x:v>
      </x:c>
      <x:c r="H52" s="35" t="n">
        <x:v>1</x:v>
      </x:c>
      <x:c r="I52" s="37" t="n">
        <x:v>12.9</x:v>
      </x:c>
      <x:c r="J52" s="38" t="n">
        <x:v>0</x:v>
      </x:c>
      <x:c r="K52" s="35" t="str">
        <x:v>Pix</x:v>
      </x:c>
      <x:c r="L52" s="35" t="str">
        <x:v>Recorrente</x:v>
      </x:c>
      <x:c r="M52" s="35" t="str">
        <x:v>Concluído</x:v>
      </x:c>
      <x:c r="N52" s="35" t="n">
        <x:v>14</x:v>
      </x:c>
      <x:c r="O52" s="35" t="n">
        <x:v>5</x:v>
      </x:c>
      <x:c r="P52" s="37" t="n">
        <x:f>ROUND(H52*I52,2)</x:f>
        <x:v>12.9</x:v>
      </x:c>
      <x:c r="Q52" s="37" t="n">
        <x:f>ROUND(P52*J52,2)</x:f>
        <x:v>0</x:v>
      </x:c>
      <x:c r="R52" s="37" t="n">
        <x:f>ROUND(P52-Q52,2)</x:f>
        <x:v>12.9</x:v>
      </x:c>
      <x:c r="S52" s="37" t="n">
        <x:v>5.52</x:v>
      </x:c>
      <x:c r="T52" s="37" t="n">
        <x:f>ROUND(R52-S52,2)</x:f>
        <x:v>7.38</x:v>
      </x:c>
    </x:row>
    <x:row r="53">
      <x:c r="A53" s="35" t="str">
        <x:v>CAF-0052</x:v>
      </x:c>
      <x:c r="B53" s="36" t="n">
        <x:v>46205</x:v>
      </x:c>
      <x:c r="C53" s="35" t="str">
        <x:v>10:33</x:v>
      </x:c>
      <x:c r="D53" s="35" t="str">
        <x:v>Balcão</x:v>
      </x:c>
      <x:c r="E53" s="35" t="str">
        <x:v>Cookie</x:v>
      </x:c>
      <x:c r="F53" s="35" t="str">
        <x:v>Comidas</x:v>
      </x:c>
      <x:c r="G53" s="35" t="str">
        <x:v>Único</x:v>
      </x:c>
      <x:c r="H53" s="35" t="n">
        <x:v>4</x:v>
      </x:c>
      <x:c r="I53" s="37" t="n">
        <x:v>7.5</x:v>
      </x:c>
      <x:c r="J53" s="38" t="n">
        <x:v>0</x:v>
      </x:c>
      <x:c r="K53" s="35" t="str">
        <x:v>Pix</x:v>
      </x:c>
      <x:c r="L53" s="35" t="str">
        <x:v>Recorrente</x:v>
      </x:c>
      <x:c r="M53" s="35" t="str">
        <x:v>Concluído</x:v>
      </x:c>
      <x:c r="N53" s="35" t="n">
        <x:v>12</x:v>
      </x:c>
      <x:c r="O53" s="35" t="n">
        <x:v>3</x:v>
      </x:c>
      <x:c r="P53" s="37" t="n">
        <x:f>ROUND(H53*I53,2)</x:f>
        <x:v>30</x:v>
      </x:c>
      <x:c r="Q53" s="37" t="n">
        <x:f>ROUND(P53*J53,2)</x:f>
        <x:v>0</x:v>
      </x:c>
      <x:c r="R53" s="37" t="n">
        <x:f>ROUND(P53-Q53,2)</x:f>
        <x:v>30</x:v>
      </x:c>
      <x:c r="S53" s="37" t="n">
        <x:v>13.17</x:v>
      </x:c>
      <x:c r="T53" s="37" t="n">
        <x:f>ROUND(R53-S53,2)</x:f>
        <x:v>16.83</x:v>
      </x:c>
    </x:row>
    <x:row r="54">
      <x:c r="A54" s="35" t="str">
        <x:v>CAF-0053</x:v>
      </x:c>
      <x:c r="B54" s="36" t="n">
        <x:v>46218</x:v>
      </x:c>
      <x:c r="C54" s="35" t="str">
        <x:v>17:43</x:v>
      </x:c>
      <x:c r="D54" s="35" t="str">
        <x:v>Delivery</x:v>
      </x:c>
      <x:c r="E54" s="35" t="str">
        <x:v>Suco natural</x:v>
      </x:c>
      <x:c r="F54" s="35" t="str">
        <x:v>Bebidas frias</x:v>
      </x:c>
      <x:c r="G54" s="35" t="str">
        <x:v>Grande</x:v>
      </x:c>
      <x:c r="H54" s="35" t="n">
        <x:v>2</x:v>
      </x:c>
      <x:c r="I54" s="37" t="n">
        <x:v>11.9</x:v>
      </x:c>
      <x:c r="J54" s="38" t="n">
        <x:v>0.05</x:v>
      </x:c>
      <x:c r="K54" s="35" t="str">
        <x:v>Cartão de débito</x:v>
      </x:c>
      <x:c r="L54" s="35" t="str">
        <x:v>Recorrente</x:v>
      </x:c>
      <x:c r="M54" s="35" t="str">
        <x:v>Concluído</x:v>
      </x:c>
      <x:c r="N54" s="35" t="n">
        <x:v>10</x:v>
      </x:c>
      <x:c r="O54" s="35" t="n">
        <x:v>5</x:v>
      </x:c>
      <x:c r="P54" s="37" t="n">
        <x:f>ROUND(H54*I54,2)</x:f>
        <x:v>23.8</x:v>
      </x:c>
      <x:c r="Q54" s="37" t="n">
        <x:f>ROUND(P54*J54,2)</x:f>
        <x:v>1.19</x:v>
      </x:c>
      <x:c r="R54" s="37" t="n">
        <x:f>ROUND(P54-Q54,2)</x:f>
        <x:v>22.61</x:v>
      </x:c>
      <x:c r="S54" s="37" t="n">
        <x:v>9.45</x:v>
      </x:c>
      <x:c r="T54" s="37" t="n">
        <x:f>ROUND(R54-S54,2)</x:f>
        <x:v>13.16</x:v>
      </x:c>
    </x:row>
    <x:row r="55">
      <x:c r="A55" s="35" t="str">
        <x:v>CAF-0054</x:v>
      </x:c>
      <x:c r="B55" s="36" t="n">
        <x:v>46226</x:v>
      </x:c>
      <x:c r="C55" s="35" t="str">
        <x:v>07:46</x:v>
      </x:c>
      <x:c r="D55" s="35" t="str">
        <x:v>Balcão</x:v>
      </x:c>
      <x:c r="E55" s="35" t="str">
        <x:v>Cookie</x:v>
      </x:c>
      <x:c r="F55" s="35" t="str">
        <x:v>Comidas</x:v>
      </x:c>
      <x:c r="G55" s="35" t="str">
        <x:v>Único</x:v>
      </x:c>
      <x:c r="H55" s="35" t="n">
        <x:v>1</x:v>
      </x:c>
      <x:c r="I55" s="37" t="n">
        <x:v>7.5</x:v>
      </x:c>
      <x:c r="J55" s="38" t="n">
        <x:v>0.1</x:v>
      </x:c>
      <x:c r="K55" s="35" t="str">
        <x:v>Cartão de débito</x:v>
      </x:c>
      <x:c r="L55" s="35" t="str">
        <x:v>Programa de fidelidade</x:v>
      </x:c>
      <x:c r="M55" s="35" t="str">
        <x:v>Cancelado</x:v>
      </x:c>
      <x:c r="N55" s="35" t="n">
        <x:v>7</x:v>
      </x:c>
      <x:c r="O55" s="35"/>
      <x:c r="P55" s="37" t="n">
        <x:f>ROUND(H55*I55,2)</x:f>
        <x:v>7.5</x:v>
      </x:c>
      <x:c r="Q55" s="37" t="n">
        <x:f>ROUND(P55*J55,2)</x:f>
        <x:v>0.75</x:v>
      </x:c>
      <x:c r="R55" s="37" t="n">
        <x:f>ROUND(P55-Q55,2)</x:f>
        <x:v>6.75</x:v>
      </x:c>
      <x:c r="S55" s="37" t="n">
        <x:v>2.76</x:v>
      </x:c>
      <x:c r="T55" s="37" t="n">
        <x:f>ROUND(R55-S55,2)</x:f>
        <x:v>3.99</x:v>
      </x:c>
    </x:row>
    <x:row r="56">
      <x:c r="A56" s="35" t="str">
        <x:v>CAF-0055</x:v>
      </x:c>
      <x:c r="B56" s="36" t="n">
        <x:v>46223</x:v>
      </x:c>
      <x:c r="C56" s="35" t="str">
        <x:v>13:16</x:v>
      </x:c>
      <x:c r="D56" s="35" t="str">
        <x:v>Delivery</x:v>
      </x:c>
      <x:c r="E56" s="35" t="str">
        <x:v>Croissant</x:v>
      </x:c>
      <x:c r="F56" s="35" t="str">
        <x:v>Comidas</x:v>
      </x:c>
      <x:c r="G56" s="35" t="str">
        <x:v>Único</x:v>
      </x:c>
      <x:c r="H56" s="35" t="n">
        <x:v>2</x:v>
      </x:c>
      <x:c r="I56" s="37" t="n">
        <x:v>12.5</x:v>
      </x:c>
      <x:c r="J56" s="38" t="n">
        <x:v>0</x:v>
      </x:c>
      <x:c r="K56" s="35" t="str">
        <x:v>Pix</x:v>
      </x:c>
      <x:c r="L56" s="35" t="str">
        <x:v>Recorrente</x:v>
      </x:c>
      <x:c r="M56" s="35" t="str">
        <x:v>Concluído</x:v>
      </x:c>
      <x:c r="N56" s="35" t="n">
        <x:v>10</x:v>
      </x:c>
      <x:c r="O56" s="35" t="n">
        <x:v>5</x:v>
      </x:c>
      <x:c r="P56" s="37" t="n">
        <x:f>ROUND(H56*I56,2)</x:f>
        <x:v>25</x:v>
      </x:c>
      <x:c r="Q56" s="37" t="n">
        <x:f>ROUND(P56*J56,2)</x:f>
        <x:v>0</x:v>
      </x:c>
      <x:c r="R56" s="37" t="n">
        <x:f>ROUND(P56-Q56,2)</x:f>
        <x:v>25</x:v>
      </x:c>
      <x:c r="S56" s="37" t="n">
        <x:v>11.48</x:v>
      </x:c>
      <x:c r="T56" s="37" t="n">
        <x:f>ROUND(R56-S56,2)</x:f>
        <x:v>13.52</x:v>
      </x:c>
    </x:row>
    <x:row r="57">
      <x:c r="A57" s="35" t="str">
        <x:v>CAF-0056</x:v>
      </x:c>
      <x:c r="B57" s="36" t="n">
        <x:v>46232</x:v>
      </x:c>
      <x:c r="C57" s="35" t="str">
        <x:v>15:18</x:v>
      </x:c>
      <x:c r="D57" s="35" t="str">
        <x:v>Aplicativo</x:v>
      </x:c>
      <x:c r="E57" s="35" t="str">
        <x:v>Brownie</x:v>
      </x:c>
      <x:c r="F57" s="35" t="str">
        <x:v>Comidas</x:v>
      </x:c>
      <x:c r="G57" s="35" t="str">
        <x:v>Fatia</x:v>
      </x:c>
      <x:c r="H57" s="35" t="n">
        <x:v>4</x:v>
      </x:c>
      <x:c r="I57" s="37" t="n">
        <x:v>9.5</x:v>
      </x:c>
      <x:c r="J57" s="38" t="n">
        <x:v>0</x:v>
      </x:c>
      <x:c r="K57" s="35" t="str">
        <x:v>Pix</x:v>
      </x:c>
      <x:c r="L57" s="35" t="str">
        <x:v>Recorrente</x:v>
      </x:c>
      <x:c r="M57" s="35" t="str">
        <x:v>Concluído</x:v>
      </x:c>
      <x:c r="N57" s="35" t="n">
        <x:v>11</x:v>
      </x:c>
      <x:c r="O57" s="35" t="n">
        <x:v>3</x:v>
      </x:c>
      <x:c r="P57" s="37" t="n">
        <x:f>ROUND(H57*I57,2)</x:f>
        <x:v>38</x:v>
      </x:c>
      <x:c r="Q57" s="37" t="n">
        <x:f>ROUND(P57*J57,2)</x:f>
        <x:v>0</x:v>
      </x:c>
      <x:c r="R57" s="37" t="n">
        <x:f>ROUND(P57-Q57,2)</x:f>
        <x:v>38</x:v>
      </x:c>
      <x:c r="S57" s="37" t="n">
        <x:v>16.48</x:v>
      </x:c>
      <x:c r="T57" s="37" t="n">
        <x:f>ROUND(R57-S57,2)</x:f>
        <x:v>21.52</x:v>
      </x:c>
    </x:row>
    <x:row r="58">
      <x:c r="A58" s="35" t="str">
        <x:v>CAF-0057</x:v>
      </x:c>
      <x:c r="B58" s="36" t="n">
        <x:v>46232</x:v>
      </x:c>
      <x:c r="C58" s="35" t="str">
        <x:v>10:59</x:v>
      </x:c>
      <x:c r="D58" s="35" t="str">
        <x:v>Totem</x:v>
      </x:c>
      <x:c r="E58" s="35" t="str">
        <x:v>Pão de queijo</x:v>
      </x:c>
      <x:c r="F58" s="35" t="str">
        <x:v>Comidas</x:v>
      </x:c>
      <x:c r="G58" s="35" t="str">
        <x:v>Porção</x:v>
      </x:c>
      <x:c r="H58" s="35" t="n">
        <x:v>4</x:v>
      </x:c>
      <x:c r="I58" s="37" t="n">
        <x:v>8.5</x:v>
      </x:c>
      <x:c r="J58" s="38" t="n">
        <x:v>0</x:v>
      </x:c>
      <x:c r="K58" s="35" t="str">
        <x:v>Cartão de crédito</x:v>
      </x:c>
      <x:c r="L58" s="35" t="str">
        <x:v>Programa de fidelidade</x:v>
      </x:c>
      <x:c r="M58" s="35" t="str">
        <x:v>Cancelado</x:v>
      </x:c>
      <x:c r="N58" s="35" t="n">
        <x:v>15</x:v>
      </x:c>
      <x:c r="O58" s="35"/>
      <x:c r="P58" s="37" t="n">
        <x:f>ROUND(H58*I58,2)</x:f>
        <x:v>34</x:v>
      </x:c>
      <x:c r="Q58" s="37" t="n">
        <x:f>ROUND(P58*J58,2)</x:f>
        <x:v>0</x:v>
      </x:c>
      <x:c r="R58" s="37" t="n">
        <x:f>ROUND(P58-Q58,2)</x:f>
        <x:v>34</x:v>
      </x:c>
      <x:c r="S58" s="37" t="n">
        <x:v>14.01</x:v>
      </x:c>
      <x:c r="T58" s="37" t="n">
        <x:f>ROUND(R58-S58,2)</x:f>
        <x:v>19.99</x:v>
      </x:c>
    </x:row>
    <x:row r="59">
      <x:c r="A59" s="35" t="str">
        <x:v>CAF-0058</x:v>
      </x:c>
      <x:c r="B59" s="36" t="n">
        <x:v>46225</x:v>
      </x:c>
      <x:c r="C59" s="35" t="str">
        <x:v>07:47</x:v>
      </x:c>
      <x:c r="D59" s="35" t="str">
        <x:v>Totem</x:v>
      </x:c>
      <x:c r="E59" s="35" t="str">
        <x:v>Mocha</x:v>
      </x:c>
      <x:c r="F59" s="35" t="str">
        <x:v>Cafés</x:v>
      </x:c>
      <x:c r="G59" s="35" t="str">
        <x:v>Médio</x:v>
      </x:c>
      <x:c r="H59" s="35" t="n">
        <x:v>3</x:v>
      </x:c>
      <x:c r="I59" s="37" t="n">
        <x:v>15.5</x:v>
      </x:c>
      <x:c r="J59" s="38" t="n">
        <x:v>0.05</x:v>
      </x:c>
      <x:c r="K59" s="35" t="str">
        <x:v>Pix</x:v>
      </x:c>
      <x:c r="L59" s="35" t="str">
        <x:v>Recorrente</x:v>
      </x:c>
      <x:c r="M59" s="35" t="str">
        <x:v>Concluído</x:v>
      </x:c>
      <x:c r="N59" s="35" t="n">
        <x:v>10</x:v>
      </x:c>
      <x:c r="O59" s="35" t="n">
        <x:v>4</x:v>
      </x:c>
      <x:c r="P59" s="37" t="n">
        <x:f>ROUND(H59*I59,2)</x:f>
        <x:v>46.5</x:v>
      </x:c>
      <x:c r="Q59" s="37" t="n">
        <x:f>ROUND(P59*J59,2)</x:f>
        <x:v>2.33</x:v>
      </x:c>
      <x:c r="R59" s="37" t="n">
        <x:f>ROUND(P59-Q59,2)</x:f>
        <x:v>44.17</x:v>
      </x:c>
      <x:c r="S59" s="37" t="n">
        <x:v>20</x:v>
      </x:c>
      <x:c r="T59" s="37" t="n">
        <x:f>ROUND(R59-S59,2)</x:f>
        <x:v>24.17</x:v>
      </x:c>
    </x:row>
    <x:row r="60">
      <x:c r="A60" s="35" t="str">
        <x:v>CAF-0059</x:v>
      </x:c>
      <x:c r="B60" s="36" t="n">
        <x:v>46231</x:v>
      </x:c>
      <x:c r="C60" s="35" t="str">
        <x:v>11:20</x:v>
      </x:c>
      <x:c r="D60" s="35" t="str">
        <x:v>Totem</x:v>
      </x:c>
      <x:c r="E60" s="35" t="str">
        <x:v>Latte</x:v>
      </x:c>
      <x:c r="F60" s="35" t="str">
        <x:v>Cafés</x:v>
      </x:c>
      <x:c r="G60" s="35" t="str">
        <x:v>Médio</x:v>
      </x:c>
      <x:c r="H60" s="35" t="n">
        <x:v>1</x:v>
      </x:c>
      <x:c r="I60" s="37" t="n">
        <x:v>13.9</x:v>
      </x:c>
      <x:c r="J60" s="38" t="n">
        <x:v>0</x:v>
      </x:c>
      <x:c r="K60" s="35" t="str">
        <x:v>Pix</x:v>
      </x:c>
      <x:c r="L60" s="35" t="str">
        <x:v>Novo</x:v>
      </x:c>
      <x:c r="M60" s="35" t="str">
        <x:v>Cancelado</x:v>
      </x:c>
      <x:c r="N60" s="35" t="n">
        <x:v>7</x:v>
      </x:c>
      <x:c r="O60" s="35"/>
      <x:c r="P60" s="37" t="n">
        <x:f>ROUND(H60*I60,2)</x:f>
        <x:v>13.9</x:v>
      </x:c>
      <x:c r="Q60" s="37" t="n">
        <x:f>ROUND(P60*J60,2)</x:f>
        <x:v>0</x:v>
      </x:c>
      <x:c r="R60" s="37" t="n">
        <x:f>ROUND(P60-Q60,2)</x:f>
        <x:v>13.9</x:v>
      </x:c>
      <x:c r="S60" s="37" t="n">
        <x:v>5.66</x:v>
      </x:c>
      <x:c r="T60" s="37" t="n">
        <x:f>ROUND(R60-S60,2)</x:f>
        <x:v>8.24</x:v>
      </x:c>
    </x:row>
    <x:row r="61">
      <x:c r="A61" s="35" t="str">
        <x:v>CAF-0060</x:v>
      </x:c>
      <x:c r="B61" s="36" t="n">
        <x:v>46233</x:v>
      </x:c>
      <x:c r="C61" s="35" t="str">
        <x:v>13:30</x:v>
      </x:c>
      <x:c r="D61" s="35" t="str">
        <x:v>Balcão</x:v>
      </x:c>
      <x:c r="E61" s="35" t="str">
        <x:v>Suco natural</x:v>
      </x:c>
      <x:c r="F61" s="35" t="str">
        <x:v>Bebidas frias</x:v>
      </x:c>
      <x:c r="G61" s="35" t="str">
        <x:v>Grande</x:v>
      </x:c>
      <x:c r="H61" s="35" t="n">
        <x:v>1</x:v>
      </x:c>
      <x:c r="I61" s="37" t="n">
        <x:v>11.9</x:v>
      </x:c>
      <x:c r="J61" s="38" t="n">
        <x:v>0</x:v>
      </x:c>
      <x:c r="K61" s="35" t="str">
        <x:v>Cartão de débito</x:v>
      </x:c>
      <x:c r="L61" s="35" t="str">
        <x:v>Programa de fidelidade</x:v>
      </x:c>
      <x:c r="M61" s="35" t="str">
        <x:v>Concluído</x:v>
      </x:c>
      <x:c r="N61" s="35" t="n">
        <x:v>8</x:v>
      </x:c>
      <x:c r="O61" s="35" t="n">
        <x:v>5</x:v>
      </x:c>
      <x:c r="P61" s="37" t="n">
        <x:f>ROUND(H61*I61,2)</x:f>
        <x:v>11.9</x:v>
      </x:c>
      <x:c r="Q61" s="37" t="n">
        <x:f>ROUND(P61*J61,2)</x:f>
        <x:v>0</x:v>
      </x:c>
      <x:c r="R61" s="37" t="n">
        <x:f>ROUND(P61-Q61,2)</x:f>
        <x:v>11.9</x:v>
      </x:c>
      <x:c r="S61" s="37" t="n">
        <x:v>4.8</x:v>
      </x:c>
      <x:c r="T61" s="37" t="n">
        <x:f>ROUND(R61-S61,2)</x:f>
        <x:v>7.1</x:v>
      </x:c>
    </x:row>
    <x:row r="62">
      <x:c r="A62" s="35" t="str">
        <x:v>CAF-0061</x:v>
      </x:c>
      <x:c r="B62" s="36" t="n">
        <x:v>46233</x:v>
      </x:c>
      <x:c r="C62" s="35" t="str">
        <x:v>08:44</x:v>
      </x:c>
      <x:c r="D62" s="35" t="str">
        <x:v>Totem</x:v>
      </x:c>
      <x:c r="E62" s="35" t="str">
        <x:v>Pão de queijo</x:v>
      </x:c>
      <x:c r="F62" s="35" t="str">
        <x:v>Comidas</x:v>
      </x:c>
      <x:c r="G62" s="35" t="str">
        <x:v>Porção</x:v>
      </x:c>
      <x:c r="H62" s="35" t="n">
        <x:v>3</x:v>
      </x:c>
      <x:c r="I62" s="37" t="n">
        <x:v>8.5</x:v>
      </x:c>
      <x:c r="J62" s="38" t="n">
        <x:v>0</x:v>
      </x:c>
      <x:c r="K62" s="35" t="str">
        <x:v>Cartão de crédito</x:v>
      </x:c>
      <x:c r="L62" s="35" t="str">
        <x:v>Programa de fidelidade</x:v>
      </x:c>
      <x:c r="M62" s="35" t="str">
        <x:v>Concluído</x:v>
      </x:c>
      <x:c r="N62" s="35" t="n">
        <x:v>8</x:v>
      </x:c>
      <x:c r="O62" s="35" t="n">
        <x:v>5</x:v>
      </x:c>
      <x:c r="P62" s="37" t="n">
        <x:f>ROUND(H62*I62,2)</x:f>
        <x:v>25.5</x:v>
      </x:c>
      <x:c r="Q62" s="37" t="n">
        <x:f>ROUND(P62*J62,2)</x:f>
        <x:v>0</x:v>
      </x:c>
      <x:c r="R62" s="37" t="n">
        <x:f>ROUND(P62-Q62,2)</x:f>
        <x:v>25.5</x:v>
      </x:c>
      <x:c r="S62" s="37" t="n">
        <x:v>10.92</x:v>
      </x:c>
      <x:c r="T62" s="37" t="n">
        <x:f>ROUND(R62-S62,2)</x:f>
        <x:v>14.58</x:v>
      </x:c>
    </x:row>
    <x:row r="63">
      <x:c r="A63" s="35" t="str">
        <x:v>CAF-0062</x:v>
      </x:c>
      <x:c r="B63" s="36" t="n">
        <x:v>46226</x:v>
      </x:c>
      <x:c r="C63" s="35" t="str">
        <x:v>09:14</x:v>
      </x:c>
      <x:c r="D63" s="35" t="str">
        <x:v>Aplicativo</x:v>
      </x:c>
      <x:c r="E63" s="35" t="str">
        <x:v>Latte</x:v>
      </x:c>
      <x:c r="F63" s="35" t="str">
        <x:v>Cafés</x:v>
      </x:c>
      <x:c r="G63" s="35" t="str">
        <x:v>Médio</x:v>
      </x:c>
      <x:c r="H63" s="35" t="n">
        <x:v>1</x:v>
      </x:c>
      <x:c r="I63" s="37" t="n">
        <x:v>13.9</x:v>
      </x:c>
      <x:c r="J63" s="38" t="n">
        <x:v>0.1</x:v>
      </x:c>
      <x:c r="K63" s="35" t="str">
        <x:v>Cartão de débito</x:v>
      </x:c>
      <x:c r="L63" s="35" t="str">
        <x:v>Programa de fidelidade</x:v>
      </x:c>
      <x:c r="M63" s="35" t="str">
        <x:v>Concluído</x:v>
      </x:c>
      <x:c r="N63" s="35" t="n">
        <x:v>8</x:v>
      </x:c>
      <x:c r="O63" s="35" t="n">
        <x:v>5</x:v>
      </x:c>
      <x:c r="P63" s="37" t="n">
        <x:f>ROUND(H63*I63,2)</x:f>
        <x:v>13.9</x:v>
      </x:c>
      <x:c r="Q63" s="37" t="n">
        <x:f>ROUND(P63*J63,2)</x:f>
        <x:v>1.39</x:v>
      </x:c>
      <x:c r="R63" s="37" t="n">
        <x:f>ROUND(P63-Q63,2)</x:f>
        <x:v>12.51</x:v>
      </x:c>
      <x:c r="S63" s="37" t="n">
        <x:v>5.09</x:v>
      </x:c>
      <x:c r="T63" s="37" t="n">
        <x:f>ROUND(R63-S63,2)</x:f>
        <x:v>7.42</x:v>
      </x:c>
    </x:row>
    <x:row r="64">
      <x:c r="A64" s="35" t="str">
        <x:v>CAF-0063</x:v>
      </x:c>
      <x:c r="B64" s="36" t="n">
        <x:v>46204</x:v>
      </x:c>
      <x:c r="C64" s="35" t="str">
        <x:v>07:54</x:v>
      </x:c>
      <x:c r="D64" s="35" t="str">
        <x:v>Balcão</x:v>
      </x:c>
      <x:c r="E64" s="35" t="str">
        <x:v>Chá gelado</x:v>
      </x:c>
      <x:c r="F64" s="35" t="str">
        <x:v>Bebidas frias</x:v>
      </x:c>
      <x:c r="G64" s="35" t="str">
        <x:v>Médio</x:v>
      </x:c>
      <x:c r="H64" s="35" t="n">
        <x:v>2</x:v>
      </x:c>
      <x:c r="I64" s="37" t="n">
        <x:v>9.9</x:v>
      </x:c>
      <x:c r="J64" s="38" t="n">
        <x:v>0</x:v>
      </x:c>
      <x:c r="K64" s="35" t="str">
        <x:v>Dinheiro</x:v>
      </x:c>
      <x:c r="L64" s="35" t="str">
        <x:v>Programa de fidelidade</x:v>
      </x:c>
      <x:c r="M64" s="35" t="str">
        <x:v>Concluído</x:v>
      </x:c>
      <x:c r="N64" s="35" t="n">
        <x:v>13</x:v>
      </x:c>
      <x:c r="O64" s="35" t="n">
        <x:v>4</x:v>
      </x:c>
      <x:c r="P64" s="37" t="n">
        <x:f>ROUND(H64*I64,2)</x:f>
        <x:v>19.8</x:v>
      </x:c>
      <x:c r="Q64" s="37" t="n">
        <x:f>ROUND(P64*J64,2)</x:f>
        <x:v>0</x:v>
      </x:c>
      <x:c r="R64" s="37" t="n">
        <x:f>ROUND(P64-Q64,2)</x:f>
        <x:v>19.8</x:v>
      </x:c>
      <x:c r="S64" s="37" t="n">
        <x:v>8.7</x:v>
      </x:c>
      <x:c r="T64" s="37" t="n">
        <x:f>ROUND(R64-S64,2)</x:f>
        <x:v>11.1</x:v>
      </x:c>
    </x:row>
    <x:row r="65">
      <x:c r="A65" s="35" t="str">
        <x:v>CAF-0064</x:v>
      </x:c>
      <x:c r="B65" s="36" t="n">
        <x:v>46206</x:v>
      </x:c>
      <x:c r="C65" s="35" t="str">
        <x:v>16:28</x:v>
      </x:c>
      <x:c r="D65" s="35" t="str">
        <x:v>Totem</x:v>
      </x:c>
      <x:c r="E65" s="35" t="str">
        <x:v>Bolo de chocolate</x:v>
      </x:c>
      <x:c r="F65" s="35" t="str">
        <x:v>Comidas</x:v>
      </x:c>
      <x:c r="G65" s="35" t="str">
        <x:v>Fatia</x:v>
      </x:c>
      <x:c r="H65" s="35" t="n">
        <x:v>2</x:v>
      </x:c>
      <x:c r="I65" s="37" t="n">
        <x:v>10.9</x:v>
      </x:c>
      <x:c r="J65" s="38" t="n">
        <x:v>0.1</x:v>
      </x:c>
      <x:c r="K65" s="35" t="str">
        <x:v>Pix</x:v>
      </x:c>
      <x:c r="L65" s="35" t="str">
        <x:v>Programa de fidelidade</x:v>
      </x:c>
      <x:c r="M65" s="35" t="str">
        <x:v>Concluído</x:v>
      </x:c>
      <x:c r="N65" s="35" t="n">
        <x:v>4</x:v>
      </x:c>
      <x:c r="O65" s="35" t="n">
        <x:v>4</x:v>
      </x:c>
      <x:c r="P65" s="37" t="n">
        <x:f>ROUND(H65*I65,2)</x:f>
        <x:v>21.8</x:v>
      </x:c>
      <x:c r="Q65" s="37" t="n">
        <x:f>ROUND(P65*J65,2)</x:f>
        <x:v>2.18</x:v>
      </x:c>
      <x:c r="R65" s="37" t="n">
        <x:f>ROUND(P65-Q65,2)</x:f>
        <x:v>19.62</x:v>
      </x:c>
      <x:c r="S65" s="37" t="n">
        <x:v>9.93</x:v>
      </x:c>
      <x:c r="T65" s="37" t="n">
        <x:f>ROUND(R65-S65,2)</x:f>
        <x:v>9.69</x:v>
      </x:c>
    </x:row>
    <x:row r="66">
      <x:c r="A66" s="35" t="str">
        <x:v>CAF-0065</x:v>
      </x:c>
      <x:c r="B66" s="36" t="n">
        <x:v>46225</x:v>
      </x:c>
      <x:c r="C66" s="35" t="str">
        <x:v>15:07</x:v>
      </x:c>
      <x:c r="D66" s="35" t="str">
        <x:v>Balcão</x:v>
      </x:c>
      <x:c r="E66" s="35" t="str">
        <x:v>Mocha</x:v>
      </x:c>
      <x:c r="F66" s="35" t="str">
        <x:v>Cafés</x:v>
      </x:c>
      <x:c r="G66" s="35" t="str">
        <x:v>Médio</x:v>
      </x:c>
      <x:c r="H66" s="35" t="n">
        <x:v>3</x:v>
      </x:c>
      <x:c r="I66" s="37" t="n">
        <x:v>15.5</x:v>
      </x:c>
      <x:c r="J66" s="38" t="n">
        <x:v>0.1</x:v>
      </x:c>
      <x:c r="K66" s="35" t="str">
        <x:v>Pix</x:v>
      </x:c>
      <x:c r="L66" s="35" t="str">
        <x:v>Novo</x:v>
      </x:c>
      <x:c r="M66" s="35" t="str">
        <x:v>Cancelado</x:v>
      </x:c>
      <x:c r="N66" s="35" t="n">
        <x:v>10</x:v>
      </x:c>
      <x:c r="O66" s="35"/>
      <x:c r="P66" s="37" t="n">
        <x:f>ROUND(H66*I66,2)</x:f>
        <x:v>46.5</x:v>
      </x:c>
      <x:c r="Q66" s="37" t="n">
        <x:f>ROUND(P66*J66,2)</x:f>
        <x:v>4.65</x:v>
      </x:c>
      <x:c r="R66" s="37" t="n">
        <x:f>ROUND(P66-Q66,2)</x:f>
        <x:v>41.85</x:v>
      </x:c>
      <x:c r="S66" s="37" t="n">
        <x:v>17.12</x:v>
      </x:c>
      <x:c r="T66" s="37" t="n">
        <x:f>ROUND(R66-S66,2)</x:f>
        <x:v>24.73</x:v>
      </x:c>
    </x:row>
    <x:row r="67">
      <x:c r="A67" s="35" t="str">
        <x:v>CAF-0066</x:v>
      </x:c>
      <x:c r="B67" s="36" t="n">
        <x:v>46210</x:v>
      </x:c>
      <x:c r="C67" s="35" t="str">
        <x:v>12:00</x:v>
      </x:c>
      <x:c r="D67" s="35" t="str">
        <x:v>Aplicativo</x:v>
      </x:c>
      <x:c r="E67" s="35" t="str">
        <x:v>Bolo de chocolate</x:v>
      </x:c>
      <x:c r="F67" s="35" t="str">
        <x:v>Comidas</x:v>
      </x:c>
      <x:c r="G67" s="35" t="str">
        <x:v>Fatia</x:v>
      </x:c>
      <x:c r="H67" s="35" t="n">
        <x:v>1</x:v>
      </x:c>
      <x:c r="I67" s="37" t="n">
        <x:v>10.9</x:v>
      </x:c>
      <x:c r="J67" s="38" t="n">
        <x:v>0</x:v>
      </x:c>
      <x:c r="K67" s="35" t="str">
        <x:v>Cartão de crédito</x:v>
      </x:c>
      <x:c r="L67" s="35" t="str">
        <x:v>Programa de fidelidade</x:v>
      </x:c>
      <x:c r="M67" s="35" t="str">
        <x:v>Concluído</x:v>
      </x:c>
      <x:c r="N67" s="35" t="n">
        <x:v>10</x:v>
      </x:c>
      <x:c r="O67" s="35" t="n">
        <x:v>4</x:v>
      </x:c>
      <x:c r="P67" s="37" t="n">
        <x:f>ROUND(H67*I67,2)</x:f>
        <x:v>10.9</x:v>
      </x:c>
      <x:c r="Q67" s="37" t="n">
        <x:f>ROUND(P67*J67,2)</x:f>
        <x:v>0</x:v>
      </x:c>
      <x:c r="R67" s="37" t="n">
        <x:f>ROUND(P67-Q67,2)</x:f>
        <x:v>10.9</x:v>
      </x:c>
      <x:c r="S67" s="37" t="n">
        <x:v>4.24</x:v>
      </x:c>
      <x:c r="T67" s="37" t="n">
        <x:f>ROUND(R67-S67,2)</x:f>
        <x:v>6.66</x:v>
      </x:c>
    </x:row>
    <x:row r="68">
      <x:c r="A68" s="35" t="str">
        <x:v>CAF-0067</x:v>
      </x:c>
      <x:c r="B68" s="36" t="n">
        <x:v>46215</x:v>
      </x:c>
      <x:c r="C68" s="35" t="str">
        <x:v>14:01</x:v>
      </x:c>
      <x:c r="D68" s="35" t="str">
        <x:v>Aplicativo</x:v>
      </x:c>
      <x:c r="E68" s="35" t="str">
        <x:v>Suco natural</x:v>
      </x:c>
      <x:c r="F68" s="35" t="str">
        <x:v>Bebidas frias</x:v>
      </x:c>
      <x:c r="G68" s="35" t="str">
        <x:v>Grande</x:v>
      </x:c>
      <x:c r="H68" s="35" t="n">
        <x:v>1</x:v>
      </x:c>
      <x:c r="I68" s="37" t="n">
        <x:v>11.9</x:v>
      </x:c>
      <x:c r="J68" s="38" t="n">
        <x:v>0.05</x:v>
      </x:c>
      <x:c r="K68" s="35" t="str">
        <x:v>Pix</x:v>
      </x:c>
      <x:c r="L68" s="35" t="str">
        <x:v>Novo</x:v>
      </x:c>
      <x:c r="M68" s="35" t="str">
        <x:v>Concluído</x:v>
      </x:c>
      <x:c r="N68" s="35" t="n">
        <x:v>4</x:v>
      </x:c>
      <x:c r="O68" s="35" t="n">
        <x:v>4</x:v>
      </x:c>
      <x:c r="P68" s="37" t="n">
        <x:f>ROUND(H68*I68,2)</x:f>
        <x:v>11.9</x:v>
      </x:c>
      <x:c r="Q68" s="37" t="n">
        <x:f>ROUND(P68*J68,2)</x:f>
        <x:v>0.6</x:v>
      </x:c>
      <x:c r="R68" s="37" t="n">
        <x:f>ROUND(P68-Q68,2)</x:f>
        <x:v>11.3</x:v>
      </x:c>
      <x:c r="S68" s="37" t="n">
        <x:v>5.05</x:v>
      </x:c>
      <x:c r="T68" s="37" t="n">
        <x:f>ROUND(R68-S68,2)</x:f>
        <x:v>6.25</x:v>
      </x:c>
    </x:row>
    <x:row r="69">
      <x:c r="A69" s="35" t="str">
        <x:v>CAF-0068</x:v>
      </x:c>
      <x:c r="B69" s="36" t="n">
        <x:v>46232</x:v>
      </x:c>
      <x:c r="C69" s="35" t="str">
        <x:v>17:37</x:v>
      </x:c>
      <x:c r="D69" s="35" t="str">
        <x:v>Delivery</x:v>
      </x:c>
      <x:c r="E69" s="35" t="str">
        <x:v>Cappuccino</x:v>
      </x:c>
      <x:c r="F69" s="35" t="str">
        <x:v>Cafés</x:v>
      </x:c>
      <x:c r="G69" s="35" t="str">
        <x:v>Médio</x:v>
      </x:c>
      <x:c r="H69" s="35" t="n">
        <x:v>2</x:v>
      </x:c>
      <x:c r="I69" s="37" t="n">
        <x:v>12.9</x:v>
      </x:c>
      <x:c r="J69" s="38" t="n">
        <x:v>0</x:v>
      </x:c>
      <x:c r="K69" s="35" t="str">
        <x:v>Dinheiro</x:v>
      </x:c>
      <x:c r="L69" s="35" t="str">
        <x:v>Programa de fidelidade</x:v>
      </x:c>
      <x:c r="M69" s="35" t="str">
        <x:v>Concluído</x:v>
      </x:c>
      <x:c r="N69" s="35" t="n">
        <x:v>18</x:v>
      </x:c>
      <x:c r="O69" s="35" t="n">
        <x:v>3</x:v>
      </x:c>
      <x:c r="P69" s="37" t="n">
        <x:f>ROUND(H69*I69,2)</x:f>
        <x:v>25.8</x:v>
      </x:c>
      <x:c r="Q69" s="37" t="n">
        <x:f>ROUND(P69*J69,2)</x:f>
        <x:v>0</x:v>
      </x:c>
      <x:c r="R69" s="37" t="n">
        <x:f>ROUND(P69-Q69,2)</x:f>
        <x:v>25.8</x:v>
      </x:c>
      <x:c r="S69" s="37" t="n">
        <x:v>9.4</x:v>
      </x:c>
      <x:c r="T69" s="37" t="n">
        <x:f>ROUND(R69-S69,2)</x:f>
        <x:v>16.4</x:v>
      </x:c>
    </x:row>
    <x:row r="70">
      <x:c r="A70" s="35" t="str">
        <x:v>CAF-0069</x:v>
      </x:c>
      <x:c r="B70" s="36" t="n">
        <x:v>46211</x:v>
      </x:c>
      <x:c r="C70" s="35" t="str">
        <x:v>15:37</x:v>
      </x:c>
      <x:c r="D70" s="35" t="str">
        <x:v>Delivery</x:v>
      </x:c>
      <x:c r="E70" s="35" t="str">
        <x:v>Croissant</x:v>
      </x:c>
      <x:c r="F70" s="35" t="str">
        <x:v>Comidas</x:v>
      </x:c>
      <x:c r="G70" s="35" t="str">
        <x:v>Único</x:v>
      </x:c>
      <x:c r="H70" s="35" t="n">
        <x:v>3</x:v>
      </x:c>
      <x:c r="I70" s="37" t="n">
        <x:v>12.5</x:v>
      </x:c>
      <x:c r="J70" s="38" t="n">
        <x:v>0.05</x:v>
      </x:c>
      <x:c r="K70" s="35" t="str">
        <x:v>Cartão de crédito</x:v>
      </x:c>
      <x:c r="L70" s="35" t="str">
        <x:v>Recorrente</x:v>
      </x:c>
      <x:c r="M70" s="35" t="str">
        <x:v>Concluído</x:v>
      </x:c>
      <x:c r="N70" s="35" t="n">
        <x:v>18</x:v>
      </x:c>
      <x:c r="O70" s="35" t="n">
        <x:v>3</x:v>
      </x:c>
      <x:c r="P70" s="37" t="n">
        <x:f>ROUND(H70*I70,2)</x:f>
        <x:v>37.5</x:v>
      </x:c>
      <x:c r="Q70" s="37" t="n">
        <x:f>ROUND(P70*J70,2)</x:f>
        <x:v>1.88</x:v>
      </x:c>
      <x:c r="R70" s="37" t="n">
        <x:f>ROUND(P70-Q70,2)</x:f>
        <x:v>35.62</x:v>
      </x:c>
      <x:c r="S70" s="37" t="n">
        <x:v>17.19</x:v>
      </x:c>
      <x:c r="T70" s="37" t="n">
        <x:f>ROUND(R70-S70,2)</x:f>
        <x:v>18.43</x:v>
      </x:c>
    </x:row>
    <x:row r="71">
      <x:c r="A71" s="35" t="str">
        <x:v>CAF-0070</x:v>
      </x:c>
      <x:c r="B71" s="36" t="n">
        <x:v>46233</x:v>
      </x:c>
      <x:c r="C71" s="35" t="str">
        <x:v>17:02</x:v>
      </x:c>
      <x:c r="D71" s="35" t="str">
        <x:v>Aplicativo</x:v>
      </x:c>
      <x:c r="E71" s="35" t="str">
        <x:v>Croissant</x:v>
      </x:c>
      <x:c r="F71" s="35" t="str">
        <x:v>Comidas</x:v>
      </x:c>
      <x:c r="G71" s="35" t="str">
        <x:v>Único</x:v>
      </x:c>
      <x:c r="H71" s="35" t="n">
        <x:v>3</x:v>
      </x:c>
      <x:c r="I71" s="37" t="n">
        <x:v>12.5</x:v>
      </x:c>
      <x:c r="J71" s="38" t="n">
        <x:v>0</x:v>
      </x:c>
      <x:c r="K71" s="35" t="str">
        <x:v>Cartão de débito</x:v>
      </x:c>
      <x:c r="L71" s="35" t="str">
        <x:v>Recorrente</x:v>
      </x:c>
      <x:c r="M71" s="35" t="str">
        <x:v>Concluído</x:v>
      </x:c>
      <x:c r="N71" s="35" t="n">
        <x:v>4</x:v>
      </x:c>
      <x:c r="O71" s="35" t="n">
        <x:v>5</x:v>
      </x:c>
      <x:c r="P71" s="37" t="n">
        <x:f>ROUND(H71*I71,2)</x:f>
        <x:v>37.5</x:v>
      </x:c>
      <x:c r="Q71" s="37" t="n">
        <x:f>ROUND(P71*J71,2)</x:f>
        <x:v>0</x:v>
      </x:c>
      <x:c r="R71" s="37" t="n">
        <x:f>ROUND(P71-Q71,2)</x:f>
        <x:v>37.5</x:v>
      </x:c>
      <x:c r="S71" s="37" t="n">
        <x:v>17.52</x:v>
      </x:c>
      <x:c r="T71" s="37" t="n">
        <x:f>ROUND(R71-S71,2)</x:f>
        <x:v>19.98</x:v>
      </x:c>
    </x:row>
    <x:row r="72">
      <x:c r="A72" s="35" t="str">
        <x:v>CAF-0071</x:v>
      </x:c>
      <x:c r="B72" s="36" t="n">
        <x:v>46224</x:v>
      </x:c>
      <x:c r="C72" s="35" t="str">
        <x:v>13:17</x:v>
      </x:c>
      <x:c r="D72" s="35" t="str">
        <x:v>Delivery</x:v>
      </x:c>
      <x:c r="E72" s="35" t="str">
        <x:v>Brownie</x:v>
      </x:c>
      <x:c r="F72" s="35" t="str">
        <x:v>Comidas</x:v>
      </x:c>
      <x:c r="G72" s="35" t="str">
        <x:v>Fatia</x:v>
      </x:c>
      <x:c r="H72" s="35" t="n">
        <x:v>3</x:v>
      </x:c>
      <x:c r="I72" s="37" t="n">
        <x:v>9.5</x:v>
      </x:c>
      <x:c r="J72" s="38" t="n">
        <x:v>0</x:v>
      </x:c>
      <x:c r="K72" s="35" t="str">
        <x:v>Dinheiro</x:v>
      </x:c>
      <x:c r="L72" s="35" t="str">
        <x:v>Recorrente</x:v>
      </x:c>
      <x:c r="M72" s="35" t="str">
        <x:v>Concluído</x:v>
      </x:c>
      <x:c r="N72" s="35" t="n">
        <x:v>18</x:v>
      </x:c>
      <x:c r="O72" s="35" t="n">
        <x:v>5</x:v>
      </x:c>
      <x:c r="P72" s="37" t="n">
        <x:f>ROUND(H72*I72,2)</x:f>
        <x:v>28.5</x:v>
      </x:c>
      <x:c r="Q72" s="37" t="n">
        <x:f>ROUND(P72*J72,2)</x:f>
        <x:v>0</x:v>
      </x:c>
      <x:c r="R72" s="37" t="n">
        <x:f>ROUND(P72-Q72,2)</x:f>
        <x:v>28.5</x:v>
      </x:c>
      <x:c r="S72" s="37" t="n">
        <x:v>11.56</x:v>
      </x:c>
      <x:c r="T72" s="37" t="n">
        <x:f>ROUND(R72-S72,2)</x:f>
        <x:v>16.94</x:v>
      </x:c>
    </x:row>
    <x:row r="73">
      <x:c r="A73" s="35" t="str">
        <x:v>CAF-0072</x:v>
      </x:c>
      <x:c r="B73" s="36" t="n">
        <x:v>46229</x:v>
      </x:c>
      <x:c r="C73" s="35" t="str">
        <x:v>07:13</x:v>
      </x:c>
      <x:c r="D73" s="35" t="str">
        <x:v>Aplicativo</x:v>
      </x:c>
      <x:c r="E73" s="35" t="str">
        <x:v>Bolo de chocolate</x:v>
      </x:c>
      <x:c r="F73" s="35" t="str">
        <x:v>Comidas</x:v>
      </x:c>
      <x:c r="G73" s="35" t="str">
        <x:v>Fatia</x:v>
      </x:c>
      <x:c r="H73" s="35" t="n">
        <x:v>1</x:v>
      </x:c>
      <x:c r="I73" s="37" t="n">
        <x:v>10.9</x:v>
      </x:c>
      <x:c r="J73" s="38" t="n">
        <x:v>0</x:v>
      </x:c>
      <x:c r="K73" s="35" t="str">
        <x:v>Pix</x:v>
      </x:c>
      <x:c r="L73" s="35" t="str">
        <x:v>Novo</x:v>
      </x:c>
      <x:c r="M73" s="35" t="str">
        <x:v>Concluído</x:v>
      </x:c>
      <x:c r="N73" s="35" t="n">
        <x:v>14</x:v>
      </x:c>
      <x:c r="O73" s="35" t="n">
        <x:v>5</x:v>
      </x:c>
      <x:c r="P73" s="37" t="n">
        <x:f>ROUND(H73*I73,2)</x:f>
        <x:v>10.9</x:v>
      </x:c>
      <x:c r="Q73" s="37" t="n">
        <x:f>ROUND(P73*J73,2)</x:f>
        <x:v>0</x:v>
      </x:c>
      <x:c r="R73" s="37" t="n">
        <x:f>ROUND(P73-Q73,2)</x:f>
        <x:v>10.9</x:v>
      </x:c>
      <x:c r="S73" s="37" t="n">
        <x:v>4.84</x:v>
      </x:c>
      <x:c r="T73" s="37" t="n">
        <x:f>ROUND(R73-S73,2)</x:f>
        <x:v>6.06</x:v>
      </x:c>
    </x:row>
    <x:row r="74">
      <x:c r="A74" s="35" t="str">
        <x:v>CAF-0073</x:v>
      </x:c>
      <x:c r="B74" s="36" t="n">
        <x:v>46219</x:v>
      </x:c>
      <x:c r="C74" s="35" t="str">
        <x:v>11:54</x:v>
      </x:c>
      <x:c r="D74" s="35" t="str">
        <x:v>Totem</x:v>
      </x:c>
      <x:c r="E74" s="35" t="str">
        <x:v>Pão de queijo</x:v>
      </x:c>
      <x:c r="F74" s="35" t="str">
        <x:v>Comidas</x:v>
      </x:c>
      <x:c r="G74" s="35" t="str">
        <x:v>Porção</x:v>
      </x:c>
      <x:c r="H74" s="35" t="n">
        <x:v>4</x:v>
      </x:c>
      <x:c r="I74" s="37" t="n">
        <x:v>8.5</x:v>
      </x:c>
      <x:c r="J74" s="38" t="n">
        <x:v>0</x:v>
      </x:c>
      <x:c r="K74" s="35" t="str">
        <x:v>Cartão de crédito</x:v>
      </x:c>
      <x:c r="L74" s="35" t="str">
        <x:v>Recorrente</x:v>
      </x:c>
      <x:c r="M74" s="35" t="str">
        <x:v>Concluído</x:v>
      </x:c>
      <x:c r="N74" s="35" t="n">
        <x:v>6</x:v>
      </x:c>
      <x:c r="O74" s="35" t="n">
        <x:v>5</x:v>
      </x:c>
      <x:c r="P74" s="37" t="n">
        <x:f>ROUND(H74*I74,2)</x:f>
        <x:v>34</x:v>
      </x:c>
      <x:c r="Q74" s="37" t="n">
        <x:f>ROUND(P74*J74,2)</x:f>
        <x:v>0</x:v>
      </x:c>
      <x:c r="R74" s="37" t="n">
        <x:f>ROUND(P74-Q74,2)</x:f>
        <x:v>34</x:v>
      </x:c>
      <x:c r="S74" s="37" t="n">
        <x:v>14.61</x:v>
      </x:c>
      <x:c r="T74" s="37" t="n">
        <x:f>ROUND(R74-S74,2)</x:f>
        <x:v>19.39</x:v>
      </x:c>
    </x:row>
    <x:row r="75">
      <x:c r="A75" s="35" t="str">
        <x:v>CAF-0074</x:v>
      </x:c>
      <x:c r="B75" s="36" t="n">
        <x:v>46232</x:v>
      </x:c>
      <x:c r="C75" s="35" t="str">
        <x:v>14:54</x:v>
      </x:c>
      <x:c r="D75" s="35" t="str">
        <x:v>Totem</x:v>
      </x:c>
      <x:c r="E75" s="35" t="str">
        <x:v>Chá gelado</x:v>
      </x:c>
      <x:c r="F75" s="35" t="str">
        <x:v>Bebidas frias</x:v>
      </x:c>
      <x:c r="G75" s="35" t="str">
        <x:v>Médio</x:v>
      </x:c>
      <x:c r="H75" s="35" t="n">
        <x:v>3</x:v>
      </x:c>
      <x:c r="I75" s="37" t="n">
        <x:v>9.9</x:v>
      </x:c>
      <x:c r="J75" s="38" t="n">
        <x:v>0</x:v>
      </x:c>
      <x:c r="K75" s="35" t="str">
        <x:v>Cartão de crédito</x:v>
      </x:c>
      <x:c r="L75" s="35" t="str">
        <x:v>Recorrente</x:v>
      </x:c>
      <x:c r="M75" s="35" t="str">
        <x:v>Concluído</x:v>
      </x:c>
      <x:c r="N75" s="35" t="n">
        <x:v>20</x:v>
      </x:c>
      <x:c r="O75" s="35" t="n">
        <x:v>3</x:v>
      </x:c>
      <x:c r="P75" s="37" t="n">
        <x:f>ROUND(H75*I75,2)</x:f>
        <x:v>29.7</x:v>
      </x:c>
      <x:c r="Q75" s="37" t="n">
        <x:f>ROUND(P75*J75,2)</x:f>
        <x:v>0</x:v>
      </x:c>
      <x:c r="R75" s="37" t="n">
        <x:f>ROUND(P75-Q75,2)</x:f>
        <x:v>29.7</x:v>
      </x:c>
      <x:c r="S75" s="37" t="n">
        <x:v>11.59</x:v>
      </x:c>
      <x:c r="T75" s="37" t="n">
        <x:f>ROUND(R75-S75,2)</x:f>
        <x:v>18.11</x:v>
      </x:c>
    </x:row>
    <x:row r="76">
      <x:c r="A76" s="35" t="str">
        <x:v>CAF-0075</x:v>
      </x:c>
      <x:c r="B76" s="36" t="n">
        <x:v>46231</x:v>
      </x:c>
      <x:c r="C76" s="35" t="str">
        <x:v>16:13</x:v>
      </x:c>
      <x:c r="D76" s="35" t="str">
        <x:v>Totem</x:v>
      </x:c>
      <x:c r="E76" s="35" t="str">
        <x:v>Chá gelado</x:v>
      </x:c>
      <x:c r="F76" s="35" t="str">
        <x:v>Bebidas frias</x:v>
      </x:c>
      <x:c r="G76" s="35" t="str">
        <x:v>Médio</x:v>
      </x:c>
      <x:c r="H76" s="35" t="n">
        <x:v>3</x:v>
      </x:c>
      <x:c r="I76" s="37" t="n">
        <x:v>9.9</x:v>
      </x:c>
      <x:c r="J76" s="38" t="n">
        <x:v>0.05</x:v>
      </x:c>
      <x:c r="K76" s="35" t="str">
        <x:v>Pix</x:v>
      </x:c>
      <x:c r="L76" s="35" t="str">
        <x:v>Recorrente</x:v>
      </x:c>
      <x:c r="M76" s="35" t="str">
        <x:v>Concluído</x:v>
      </x:c>
      <x:c r="N76" s="35" t="n">
        <x:v>16</x:v>
      </x:c>
      <x:c r="O76" s="35" t="n">
        <x:v>4</x:v>
      </x:c>
      <x:c r="P76" s="37" t="n">
        <x:f>ROUND(H76*I76,2)</x:f>
        <x:v>29.7</x:v>
      </x:c>
      <x:c r="Q76" s="37" t="n">
        <x:f>ROUND(P76*J76,2)</x:f>
        <x:v>1.49</x:v>
      </x:c>
      <x:c r="R76" s="37" t="n">
        <x:f>ROUND(P76-Q76,2)</x:f>
        <x:v>28.21</x:v>
      </x:c>
      <x:c r="S76" s="37" t="n">
        <x:v>11.51</x:v>
      </x:c>
      <x:c r="T76" s="37" t="n">
        <x:f>ROUND(R76-S76,2)</x:f>
        <x:v>16.7</x:v>
      </x:c>
    </x:row>
    <x:row r="77">
      <x:c r="A77" s="35" t="str">
        <x:v>CAF-0076</x:v>
      </x:c>
      <x:c r="B77" s="36" t="n">
        <x:v>46207</x:v>
      </x:c>
      <x:c r="C77" s="35" t="str">
        <x:v>16:22</x:v>
      </x:c>
      <x:c r="D77" s="35" t="str">
        <x:v>Balcão</x:v>
      </x:c>
      <x:c r="E77" s="35" t="str">
        <x:v>Cappuccino</x:v>
      </x:c>
      <x:c r="F77" s="35" t="str">
        <x:v>Cafés</x:v>
      </x:c>
      <x:c r="G77" s="35" t="str">
        <x:v>Médio</x:v>
      </x:c>
      <x:c r="H77" s="35" t="n">
        <x:v>4</x:v>
      </x:c>
      <x:c r="I77" s="37" t="n">
        <x:v>12.9</x:v>
      </x:c>
      <x:c r="J77" s="38" t="n">
        <x:v>0</x:v>
      </x:c>
      <x:c r="K77" s="35" t="str">
        <x:v>Dinheiro</x:v>
      </x:c>
      <x:c r="L77" s="35" t="str">
        <x:v>Recorrente</x:v>
      </x:c>
      <x:c r="M77" s="35" t="str">
        <x:v>Concluído</x:v>
      </x:c>
      <x:c r="N77" s="35" t="n">
        <x:v>19</x:v>
      </x:c>
      <x:c r="O77" s="35" t="n">
        <x:v>4</x:v>
      </x:c>
      <x:c r="P77" s="37" t="n">
        <x:f>ROUND(H77*I77,2)</x:f>
        <x:v>51.6</x:v>
      </x:c>
      <x:c r="Q77" s="37" t="n">
        <x:f>ROUND(P77*J77,2)</x:f>
        <x:v>0</x:v>
      </x:c>
      <x:c r="R77" s="37" t="n">
        <x:f>ROUND(P77-Q77,2)</x:f>
        <x:v>51.6</x:v>
      </x:c>
      <x:c r="S77" s="37" t="n">
        <x:v>21.02</x:v>
      </x:c>
      <x:c r="T77" s="37" t="n">
        <x:f>ROUND(R77-S77,2)</x:f>
        <x:v>30.58</x:v>
      </x:c>
    </x:row>
    <x:row r="78">
      <x:c r="A78" s="35" t="str">
        <x:v>CAF-0077</x:v>
      </x:c>
      <x:c r="B78" s="36" t="n">
        <x:v>46217</x:v>
      </x:c>
      <x:c r="C78" s="35" t="str">
        <x:v>15:49</x:v>
      </x:c>
      <x:c r="D78" s="35" t="str">
        <x:v>Aplicativo</x:v>
      </x:c>
      <x:c r="E78" s="35" t="str">
        <x:v>Brownie</x:v>
      </x:c>
      <x:c r="F78" s="35" t="str">
        <x:v>Comidas</x:v>
      </x:c>
      <x:c r="G78" s="35" t="str">
        <x:v>Fatia</x:v>
      </x:c>
      <x:c r="H78" s="35" t="n">
        <x:v>2</x:v>
      </x:c>
      <x:c r="I78" s="37" t="n">
        <x:v>9.5</x:v>
      </x:c>
      <x:c r="J78" s="38" t="n">
        <x:v>0</x:v>
      </x:c>
      <x:c r="K78" s="35" t="str">
        <x:v>Pix</x:v>
      </x:c>
      <x:c r="L78" s="35" t="str">
        <x:v>Recorrente</x:v>
      </x:c>
      <x:c r="M78" s="35" t="str">
        <x:v>Cancelado</x:v>
      </x:c>
      <x:c r="N78" s="35" t="n">
        <x:v>19</x:v>
      </x:c>
      <x:c r="O78" s="35"/>
      <x:c r="P78" s="37" t="n">
        <x:f>ROUND(H78*I78,2)</x:f>
        <x:v>19</x:v>
      </x:c>
      <x:c r="Q78" s="37" t="n">
        <x:f>ROUND(P78*J78,2)</x:f>
        <x:v>0</x:v>
      </x:c>
      <x:c r="R78" s="37" t="n">
        <x:f>ROUND(P78-Q78,2)</x:f>
        <x:v>19</x:v>
      </x:c>
      <x:c r="S78" s="37" t="n">
        <x:v>8</x:v>
      </x:c>
      <x:c r="T78" s="37" t="n">
        <x:f>ROUND(R78-S78,2)</x:f>
        <x:v>11</x:v>
      </x:c>
    </x:row>
    <x:row r="79">
      <x:c r="A79" s="35" t="str">
        <x:v>CAF-0078</x:v>
      </x:c>
      <x:c r="B79" s="36" t="n">
        <x:v>46212</x:v>
      </x:c>
      <x:c r="C79" s="35" t="str">
        <x:v>11:09</x:v>
      </x:c>
      <x:c r="D79" s="35" t="str">
        <x:v>Balcão</x:v>
      </x:c>
      <x:c r="E79" s="35" t="str">
        <x:v>Suco natural</x:v>
      </x:c>
      <x:c r="F79" s="35" t="str">
        <x:v>Bebidas frias</x:v>
      </x:c>
      <x:c r="G79" s="35" t="str">
        <x:v>Grande</x:v>
      </x:c>
      <x:c r="H79" s="35" t="n">
        <x:v>4</x:v>
      </x:c>
      <x:c r="I79" s="37" t="n">
        <x:v>11.9</x:v>
      </x:c>
      <x:c r="J79" s="38" t="n">
        <x:v>0</x:v>
      </x:c>
      <x:c r="K79" s="35" t="str">
        <x:v>Cartão de crédito</x:v>
      </x:c>
      <x:c r="L79" s="35" t="str">
        <x:v>Novo</x:v>
      </x:c>
      <x:c r="M79" s="35" t="str">
        <x:v>Concluído</x:v>
      </x:c>
      <x:c r="N79" s="35" t="n">
        <x:v>18</x:v>
      </x:c>
      <x:c r="O79" s="35" t="n">
        <x:v>3</x:v>
      </x:c>
      <x:c r="P79" s="37" t="n">
        <x:f>ROUND(H79*I79,2)</x:f>
        <x:v>47.6</x:v>
      </x:c>
      <x:c r="Q79" s="37" t="n">
        <x:f>ROUND(P79*J79,2)</x:f>
        <x:v>0</x:v>
      </x:c>
      <x:c r="R79" s="37" t="n">
        <x:f>ROUND(P79-Q79,2)</x:f>
        <x:v>47.6</x:v>
      </x:c>
      <x:c r="S79" s="37" t="n">
        <x:v>18.33</x:v>
      </x:c>
      <x:c r="T79" s="37" t="n">
        <x:f>ROUND(R79-S79,2)</x:f>
        <x:v>29.27</x:v>
      </x:c>
    </x:row>
    <x:row r="80">
      <x:c r="A80" s="35" t="str">
        <x:v>CAF-0079</x:v>
      </x:c>
      <x:c r="B80" s="36" t="n">
        <x:v>46209</x:v>
      </x:c>
      <x:c r="C80" s="35" t="str">
        <x:v>12:02</x:v>
      </x:c>
      <x:c r="D80" s="35" t="str">
        <x:v>Aplicativo</x:v>
      </x:c>
      <x:c r="E80" s="35" t="str">
        <x:v>Brownie</x:v>
      </x:c>
      <x:c r="F80" s="35" t="str">
        <x:v>Comidas</x:v>
      </x:c>
      <x:c r="G80" s="35" t="str">
        <x:v>Fatia</x:v>
      </x:c>
      <x:c r="H80" s="35" t="n">
        <x:v>4</x:v>
      </x:c>
      <x:c r="I80" s="37" t="n">
        <x:v>9.5</x:v>
      </x:c>
      <x:c r="J80" s="38" t="n">
        <x:v>0</x:v>
      </x:c>
      <x:c r="K80" s="35" t="str">
        <x:v>Pix</x:v>
      </x:c>
      <x:c r="L80" s="35" t="str">
        <x:v>Programa de fidelidade</x:v>
      </x:c>
      <x:c r="M80" s="35" t="str">
        <x:v>Cancelado</x:v>
      </x:c>
      <x:c r="N80" s="35" t="n">
        <x:v>13</x:v>
      </x:c>
      <x:c r="O80" s="35"/>
      <x:c r="P80" s="37" t="n">
        <x:f>ROUND(H80*I80,2)</x:f>
        <x:v>38</x:v>
      </x:c>
      <x:c r="Q80" s="37" t="n">
        <x:f>ROUND(P80*J80,2)</x:f>
        <x:v>0</x:v>
      </x:c>
      <x:c r="R80" s="37" t="n">
        <x:f>ROUND(P80-Q80,2)</x:f>
        <x:v>38</x:v>
      </x:c>
      <x:c r="S80" s="37" t="n">
        <x:v>13.54</x:v>
      </x:c>
      <x:c r="T80" s="37" t="n">
        <x:f>ROUND(R80-S80,2)</x:f>
        <x:v>24.46</x:v>
      </x:c>
    </x:row>
    <x:row r="81">
      <x:c r="A81" s="35" t="str">
        <x:v>CAF-0080</x:v>
      </x:c>
      <x:c r="B81" s="36" t="n">
        <x:v>46226</x:v>
      </x:c>
      <x:c r="C81" s="35" t="str">
        <x:v>11:18</x:v>
      </x:c>
      <x:c r="D81" s="35" t="str">
        <x:v>Delivery</x:v>
      </x:c>
      <x:c r="E81" s="35" t="str">
        <x:v>Latte</x:v>
      </x:c>
      <x:c r="F81" s="35" t="str">
        <x:v>Cafés</x:v>
      </x:c>
      <x:c r="G81" s="35" t="str">
        <x:v>Médio</x:v>
      </x:c>
      <x:c r="H81" s="35" t="n">
        <x:v>4</x:v>
      </x:c>
      <x:c r="I81" s="37" t="n">
        <x:v>13.9</x:v>
      </x:c>
      <x:c r="J81" s="38" t="n">
        <x:v>0.1</x:v>
      </x:c>
      <x:c r="K81" s="35" t="str">
        <x:v>Pix</x:v>
      </x:c>
      <x:c r="L81" s="35" t="str">
        <x:v>Recorrente</x:v>
      </x:c>
      <x:c r="M81" s="35" t="str">
        <x:v>Cancelado</x:v>
      </x:c>
      <x:c r="N81" s="35" t="n">
        <x:v>14</x:v>
      </x:c>
      <x:c r="O81" s="35"/>
      <x:c r="P81" s="37" t="n">
        <x:f>ROUND(H81*I81,2)</x:f>
        <x:v>55.6</x:v>
      </x:c>
      <x:c r="Q81" s="37" t="n">
        <x:f>ROUND(P81*J81,2)</x:f>
        <x:v>5.56</x:v>
      </x:c>
      <x:c r="R81" s="37" t="n">
        <x:f>ROUND(P81-Q81,2)</x:f>
        <x:v>50.04</x:v>
      </x:c>
      <x:c r="S81" s="37" t="n">
        <x:v>23.47</x:v>
      </x:c>
      <x:c r="T81" s="37" t="n">
        <x:f>ROUND(R81-S81,2)</x:f>
        <x:v>26.57</x:v>
      </x:c>
    </x:row>
    <x:row r="82">
      <x:c r="A82" s="35" t="str">
        <x:v>CAF-0081</x:v>
      </x:c>
      <x:c r="B82" s="36" t="n">
        <x:v>46221</x:v>
      </x:c>
      <x:c r="C82" s="35" t="str">
        <x:v>12:12</x:v>
      </x:c>
      <x:c r="D82" s="35" t="str">
        <x:v>Totem</x:v>
      </x:c>
      <x:c r="E82" s="35" t="str">
        <x:v>Pão de queijo</x:v>
      </x:c>
      <x:c r="F82" s="35" t="str">
        <x:v>Comidas</x:v>
      </x:c>
      <x:c r="G82" s="35" t="str">
        <x:v>Porção</x:v>
      </x:c>
      <x:c r="H82" s="35" t="n">
        <x:v>2</x:v>
      </x:c>
      <x:c r="I82" s="37" t="n">
        <x:v>8.5</x:v>
      </x:c>
      <x:c r="J82" s="38" t="n">
        <x:v>0</x:v>
      </x:c>
      <x:c r="K82" s="35" t="str">
        <x:v>Pix</x:v>
      </x:c>
      <x:c r="L82" s="35" t="str">
        <x:v>Programa de fidelidade</x:v>
      </x:c>
      <x:c r="M82" s="35" t="str">
        <x:v>Concluído</x:v>
      </x:c>
      <x:c r="N82" s="35" t="n">
        <x:v>12</x:v>
      </x:c>
      <x:c r="O82" s="35" t="n">
        <x:v>3</x:v>
      </x:c>
      <x:c r="P82" s="37" t="n">
        <x:f>ROUND(H82*I82,2)</x:f>
        <x:v>17</x:v>
      </x:c>
      <x:c r="Q82" s="37" t="n">
        <x:f>ROUND(P82*J82,2)</x:f>
        <x:v>0</x:v>
      </x:c>
      <x:c r="R82" s="37" t="n">
        <x:f>ROUND(P82-Q82,2)</x:f>
        <x:v>17</x:v>
      </x:c>
      <x:c r="S82" s="37" t="n">
        <x:v>7.31</x:v>
      </x:c>
      <x:c r="T82" s="37" t="n">
        <x:f>ROUND(R82-S82,2)</x:f>
        <x:v>9.69</x:v>
      </x:c>
    </x:row>
    <x:row r="83">
      <x:c r="A83" s="35" t="str">
        <x:v>CAF-0082</x:v>
      </x:c>
      <x:c r="B83" s="36" t="n">
        <x:v>46205</x:v>
      </x:c>
      <x:c r="C83" s="35" t="str">
        <x:v>08:47</x:v>
      </x:c>
      <x:c r="D83" s="35" t="str">
        <x:v>Totem</x:v>
      </x:c>
      <x:c r="E83" s="35" t="str">
        <x:v>Sanduíche natural</x:v>
      </x:c>
      <x:c r="F83" s="35" t="str">
        <x:v>Comidas</x:v>
      </x:c>
      <x:c r="G83" s="35" t="str">
        <x:v>Único</x:v>
      </x:c>
      <x:c r="H83" s="35" t="n">
        <x:v>1</x:v>
      </x:c>
      <x:c r="I83" s="37" t="n">
        <x:v>18.9</x:v>
      </x:c>
      <x:c r="J83" s="38" t="n">
        <x:v>0</x:v>
      </x:c>
      <x:c r="K83" s="35" t="str">
        <x:v>Cartão de débito</x:v>
      </x:c>
      <x:c r="L83" s="35" t="str">
        <x:v>Recorrente</x:v>
      </x:c>
      <x:c r="M83" s="35" t="str">
        <x:v>Concluído</x:v>
      </x:c>
      <x:c r="N83" s="35" t="n">
        <x:v>12</x:v>
      </x:c>
      <x:c r="O83" s="35" t="n">
        <x:v>4</x:v>
      </x:c>
      <x:c r="P83" s="37" t="n">
        <x:f>ROUND(H83*I83,2)</x:f>
        <x:v>18.9</x:v>
      </x:c>
      <x:c r="Q83" s="37" t="n">
        <x:f>ROUND(P83*J83,2)</x:f>
        <x:v>0</x:v>
      </x:c>
      <x:c r="R83" s="37" t="n">
        <x:f>ROUND(P83-Q83,2)</x:f>
        <x:v>18.9</x:v>
      </x:c>
      <x:c r="S83" s="37" t="n">
        <x:v>7.88</x:v>
      </x:c>
      <x:c r="T83" s="37" t="n">
        <x:f>ROUND(R83-S83,2)</x:f>
        <x:v>11.02</x:v>
      </x:c>
    </x:row>
    <x:row r="84">
      <x:c r="A84" s="35" t="str">
        <x:v>CAF-0083</x:v>
      </x:c>
      <x:c r="B84" s="36" t="n">
        <x:v>46219</x:v>
      </x:c>
      <x:c r="C84" s="35" t="str">
        <x:v>12:40</x:v>
      </x:c>
      <x:c r="D84" s="35" t="str">
        <x:v>Delivery</x:v>
      </x:c>
      <x:c r="E84" s="35" t="str">
        <x:v>Cookie</x:v>
      </x:c>
      <x:c r="F84" s="35" t="str">
        <x:v>Comidas</x:v>
      </x:c>
      <x:c r="G84" s="35" t="str">
        <x:v>Único</x:v>
      </x:c>
      <x:c r="H84" s="35" t="n">
        <x:v>2</x:v>
      </x:c>
      <x:c r="I84" s="37" t="n">
        <x:v>7.5</x:v>
      </x:c>
      <x:c r="J84" s="38" t="n">
        <x:v>0.05</x:v>
      </x:c>
      <x:c r="K84" s="35" t="str">
        <x:v>Cartão de débito</x:v>
      </x:c>
      <x:c r="L84" s="35" t="str">
        <x:v>Recorrente</x:v>
      </x:c>
      <x:c r="M84" s="35" t="str">
        <x:v>Concluído</x:v>
      </x:c>
      <x:c r="N84" s="35" t="n">
        <x:v>3</x:v>
      </x:c>
      <x:c r="O84" s="35" t="n">
        <x:v>4</x:v>
      </x:c>
      <x:c r="P84" s="37" t="n">
        <x:f>ROUND(H84*I84,2)</x:f>
        <x:v>15</x:v>
      </x:c>
      <x:c r="Q84" s="37" t="n">
        <x:f>ROUND(P84*J84,2)</x:f>
        <x:v>0.75</x:v>
      </x:c>
      <x:c r="R84" s="37" t="n">
        <x:f>ROUND(P84-Q84,2)</x:f>
        <x:v>14.25</x:v>
      </x:c>
      <x:c r="S84" s="37" t="n">
        <x:v>6.93</x:v>
      </x:c>
      <x:c r="T84" s="37" t="n">
        <x:f>ROUND(R84-S84,2)</x:f>
        <x:v>7.32</x:v>
      </x:c>
    </x:row>
    <x:row r="85">
      <x:c r="A85" s="35" t="str">
        <x:v>CAF-0084</x:v>
      </x:c>
      <x:c r="B85" s="36" t="n">
        <x:v>46226</x:v>
      </x:c>
      <x:c r="C85" s="35" t="str">
        <x:v>14:31</x:v>
      </x:c>
      <x:c r="D85" s="35" t="str">
        <x:v>Delivery</x:v>
      </x:c>
      <x:c r="E85" s="35" t="str">
        <x:v>Expresso</x:v>
      </x:c>
      <x:c r="F85" s="35" t="str">
        <x:v>Cafés</x:v>
      </x:c>
      <x:c r="G85" s="35" t="str">
        <x:v>Único</x:v>
      </x:c>
      <x:c r="H85" s="35" t="n">
        <x:v>3</x:v>
      </x:c>
      <x:c r="I85" s="37" t="n">
        <x:v>6.5</x:v>
      </x:c>
      <x:c r="J85" s="38" t="n">
        <x:v>0</x:v>
      </x:c>
      <x:c r="K85" s="35" t="str">
        <x:v>Cartão de débito</x:v>
      </x:c>
      <x:c r="L85" s="35" t="str">
        <x:v>Novo</x:v>
      </x:c>
      <x:c r="M85" s="35" t="str">
        <x:v>Concluído</x:v>
      </x:c>
      <x:c r="N85" s="35" t="n">
        <x:v>10</x:v>
      </x:c>
      <x:c r="O85" s="35" t="n">
        <x:v>5</x:v>
      </x:c>
      <x:c r="P85" s="37" t="n">
        <x:f>ROUND(H85*I85,2)</x:f>
        <x:v>19.5</x:v>
      </x:c>
      <x:c r="Q85" s="37" t="n">
        <x:f>ROUND(P85*J85,2)</x:f>
        <x:v>0</x:v>
      </x:c>
      <x:c r="R85" s="37" t="n">
        <x:f>ROUND(P85-Q85,2)</x:f>
        <x:v>19.5</x:v>
      </x:c>
      <x:c r="S85" s="37" t="n">
        <x:v>7.37</x:v>
      </x:c>
      <x:c r="T85" s="37" t="n">
        <x:f>ROUND(R85-S85,2)</x:f>
        <x:v>12.13</x:v>
      </x:c>
    </x:row>
    <x:row r="86">
      <x:c r="A86" s="35" t="str">
        <x:v>CAF-0085</x:v>
      </x:c>
      <x:c r="B86" s="36" t="n">
        <x:v>46216</x:v>
      </x:c>
      <x:c r="C86" s="35" t="str">
        <x:v>13:29</x:v>
      </x:c>
      <x:c r="D86" s="35" t="str">
        <x:v>Balcão</x:v>
      </x:c>
      <x:c r="E86" s="35" t="str">
        <x:v>Brownie</x:v>
      </x:c>
      <x:c r="F86" s="35" t="str">
        <x:v>Comidas</x:v>
      </x:c>
      <x:c r="G86" s="35" t="str">
        <x:v>Fatia</x:v>
      </x:c>
      <x:c r="H86" s="35" t="n">
        <x:v>1</x:v>
      </x:c>
      <x:c r="I86" s="37" t="n">
        <x:v>9.5</x:v>
      </x:c>
      <x:c r="J86" s="38" t="n">
        <x:v>0</x:v>
      </x:c>
      <x:c r="K86" s="35" t="str">
        <x:v>Cartão de débito</x:v>
      </x:c>
      <x:c r="L86" s="35" t="str">
        <x:v>Programa de fidelidade</x:v>
      </x:c>
      <x:c r="M86" s="35" t="str">
        <x:v>Concluído</x:v>
      </x:c>
      <x:c r="N86" s="35" t="n">
        <x:v>17</x:v>
      </x:c>
      <x:c r="O86" s="35" t="n">
        <x:v>4</x:v>
      </x:c>
      <x:c r="P86" s="37" t="n">
        <x:f>ROUND(H86*I86,2)</x:f>
        <x:v>9.5</x:v>
      </x:c>
      <x:c r="Q86" s="37" t="n">
        <x:f>ROUND(P86*J86,2)</x:f>
        <x:v>0</x:v>
      </x:c>
      <x:c r="R86" s="37" t="n">
        <x:f>ROUND(P86-Q86,2)</x:f>
        <x:v>9.5</x:v>
      </x:c>
      <x:c r="S86" s="37" t="n">
        <x:v>3.39</x:v>
      </x:c>
      <x:c r="T86" s="37" t="n">
        <x:f>ROUND(R86-S86,2)</x:f>
        <x:v>6.11</x:v>
      </x:c>
    </x:row>
    <x:row r="87">
      <x:c r="A87" s="35" t="str">
        <x:v>CAF-0086</x:v>
      </x:c>
      <x:c r="B87" s="36" t="n">
        <x:v>46222</x:v>
      </x:c>
      <x:c r="C87" s="35" t="str">
        <x:v>18:57</x:v>
      </x:c>
      <x:c r="D87" s="35" t="str">
        <x:v>Aplicativo</x:v>
      </x:c>
      <x:c r="E87" s="35" t="str">
        <x:v>Mocha</x:v>
      </x:c>
      <x:c r="F87" s="35" t="str">
        <x:v>Cafés</x:v>
      </x:c>
      <x:c r="G87" s="35" t="str">
        <x:v>Médio</x:v>
      </x:c>
      <x:c r="H87" s="35" t="n">
        <x:v>2</x:v>
      </x:c>
      <x:c r="I87" s="37" t="n">
        <x:v>15.5</x:v>
      </x:c>
      <x:c r="J87" s="38" t="n">
        <x:v>0</x:v>
      </x:c>
      <x:c r="K87" s="35" t="str">
        <x:v>Pix</x:v>
      </x:c>
      <x:c r="L87" s="35" t="str">
        <x:v>Recorrente</x:v>
      </x:c>
      <x:c r="M87" s="35" t="str">
        <x:v>Concluído</x:v>
      </x:c>
      <x:c r="N87" s="35" t="n">
        <x:v>10</x:v>
      </x:c>
      <x:c r="O87" s="35" t="n">
        <x:v>4</x:v>
      </x:c>
      <x:c r="P87" s="37" t="n">
        <x:f>ROUND(H87*I87,2)</x:f>
        <x:v>31</x:v>
      </x:c>
      <x:c r="Q87" s="37" t="n">
        <x:f>ROUND(P87*J87,2)</x:f>
        <x:v>0</x:v>
      </x:c>
      <x:c r="R87" s="37" t="n">
        <x:f>ROUND(P87-Q87,2)</x:f>
        <x:v>31</x:v>
      </x:c>
      <x:c r="S87" s="37" t="n">
        <x:v>14.02</x:v>
      </x:c>
      <x:c r="T87" s="37" t="n">
        <x:f>ROUND(R87-S87,2)</x:f>
        <x:v>16.98</x:v>
      </x:c>
    </x:row>
    <x:row r="88">
      <x:c r="A88" s="35" t="str">
        <x:v>CAF-0087</x:v>
      </x:c>
      <x:c r="B88" s="36" t="n">
        <x:v>46223</x:v>
      </x:c>
      <x:c r="C88" s="35" t="str">
        <x:v>08:47</x:v>
      </x:c>
      <x:c r="D88" s="35" t="str">
        <x:v>Aplicativo</x:v>
      </x:c>
      <x:c r="E88" s="35" t="str">
        <x:v>Latte</x:v>
      </x:c>
      <x:c r="F88" s="35" t="str">
        <x:v>Cafés</x:v>
      </x:c>
      <x:c r="G88" s="35" t="str">
        <x:v>Médio</x:v>
      </x:c>
      <x:c r="H88" s="35" t="n">
        <x:v>3</x:v>
      </x:c>
      <x:c r="I88" s="37" t="n">
        <x:v>13.9</x:v>
      </x:c>
      <x:c r="J88" s="38" t="n">
        <x:v>0</x:v>
      </x:c>
      <x:c r="K88" s="35" t="str">
        <x:v>Cartão de crédito</x:v>
      </x:c>
      <x:c r="L88" s="35" t="str">
        <x:v>Programa de fidelidade</x:v>
      </x:c>
      <x:c r="M88" s="35" t="str">
        <x:v>Concluído</x:v>
      </x:c>
      <x:c r="N88" s="35" t="n">
        <x:v>4</x:v>
      </x:c>
      <x:c r="O88" s="35" t="n">
        <x:v>5</x:v>
      </x:c>
      <x:c r="P88" s="37" t="n">
        <x:f>ROUND(H88*I88,2)</x:f>
        <x:v>41.7</x:v>
      </x:c>
      <x:c r="Q88" s="37" t="n">
        <x:f>ROUND(P88*J88,2)</x:f>
        <x:v>0</x:v>
      </x:c>
      <x:c r="R88" s="37" t="n">
        <x:f>ROUND(P88-Q88,2)</x:f>
        <x:v>41.7</x:v>
      </x:c>
      <x:c r="S88" s="37" t="n">
        <x:v>15.4</x:v>
      </x:c>
      <x:c r="T88" s="37" t="n">
        <x:f>ROUND(R88-S88,2)</x:f>
        <x:v>26.3</x:v>
      </x:c>
    </x:row>
    <x:row r="89">
      <x:c r="A89" s="35" t="str">
        <x:v>CAF-0088</x:v>
      </x:c>
      <x:c r="B89" s="36" t="n">
        <x:v>46216</x:v>
      </x:c>
      <x:c r="C89" s="35" t="str">
        <x:v>09:30</x:v>
      </x:c>
      <x:c r="D89" s="35" t="str">
        <x:v>Totem</x:v>
      </x:c>
      <x:c r="E89" s="35" t="str">
        <x:v>Cappuccino</x:v>
      </x:c>
      <x:c r="F89" s="35" t="str">
        <x:v>Cafés</x:v>
      </x:c>
      <x:c r="G89" s="35" t="str">
        <x:v>Médio</x:v>
      </x:c>
      <x:c r="H89" s="35" t="n">
        <x:v>4</x:v>
      </x:c>
      <x:c r="I89" s="37" t="n">
        <x:v>12.9</x:v>
      </x:c>
      <x:c r="J89" s="38" t="n">
        <x:v>0.05</x:v>
      </x:c>
      <x:c r="K89" s="35" t="str">
        <x:v>Pix</x:v>
      </x:c>
      <x:c r="L89" s="35" t="str">
        <x:v>Novo</x:v>
      </x:c>
      <x:c r="M89" s="35" t="str">
        <x:v>Concluído</x:v>
      </x:c>
      <x:c r="N89" s="35" t="n">
        <x:v>16</x:v>
      </x:c>
      <x:c r="O89" s="35" t="n">
        <x:v>3</x:v>
      </x:c>
      <x:c r="P89" s="37" t="n">
        <x:f>ROUND(H89*I89,2)</x:f>
        <x:v>51.6</x:v>
      </x:c>
      <x:c r="Q89" s="37" t="n">
        <x:f>ROUND(P89*J89,2)</x:f>
        <x:v>2.58</x:v>
      </x:c>
      <x:c r="R89" s="37" t="n">
        <x:f>ROUND(P89-Q89,2)</x:f>
        <x:v>49.02</x:v>
      </x:c>
      <x:c r="S89" s="37" t="n">
        <x:v>20.61</x:v>
      </x:c>
      <x:c r="T89" s="37" t="n">
        <x:f>ROUND(R89-S89,2)</x:f>
        <x:v>28.41</x:v>
      </x:c>
    </x:row>
    <x:row r="90">
      <x:c r="A90" s="35" t="str">
        <x:v>CAF-0089</x:v>
      </x:c>
      <x:c r="B90" s="36" t="n">
        <x:v>46221</x:v>
      </x:c>
      <x:c r="C90" s="35" t="str">
        <x:v>12:49</x:v>
      </x:c>
      <x:c r="D90" s="35" t="str">
        <x:v>Delivery</x:v>
      </x:c>
      <x:c r="E90" s="35" t="str">
        <x:v>Mocha</x:v>
      </x:c>
      <x:c r="F90" s="35" t="str">
        <x:v>Cafés</x:v>
      </x:c>
      <x:c r="G90" s="35" t="str">
        <x:v>Médio</x:v>
      </x:c>
      <x:c r="H90" s="35" t="n">
        <x:v>4</x:v>
      </x:c>
      <x:c r="I90" s="37" t="n">
        <x:v>15.5</x:v>
      </x:c>
      <x:c r="J90" s="38" t="n">
        <x:v>0</x:v>
      </x:c>
      <x:c r="K90" s="35" t="str">
        <x:v>Cartão de crédito</x:v>
      </x:c>
      <x:c r="L90" s="35" t="str">
        <x:v>Programa de fidelidade</x:v>
      </x:c>
      <x:c r="M90" s="35" t="str">
        <x:v>Concluído</x:v>
      </x:c>
      <x:c r="N90" s="35" t="n">
        <x:v>7</x:v>
      </x:c>
      <x:c r="O90" s="35" t="n">
        <x:v>5</x:v>
      </x:c>
      <x:c r="P90" s="37" t="n">
        <x:f>ROUND(H90*I90,2)</x:f>
        <x:v>62</x:v>
      </x:c>
      <x:c r="Q90" s="37" t="n">
        <x:f>ROUND(P90*J90,2)</x:f>
        <x:v>0</x:v>
      </x:c>
      <x:c r="R90" s="37" t="n">
        <x:f>ROUND(P90-Q90,2)</x:f>
        <x:v>62</x:v>
      </x:c>
      <x:c r="S90" s="37" t="n">
        <x:v>26.39</x:v>
      </x:c>
      <x:c r="T90" s="37" t="n">
        <x:f>ROUND(R90-S90,2)</x:f>
        <x:v>35.61</x:v>
      </x:c>
    </x:row>
    <x:row r="91">
      <x:c r="A91" s="35" t="str">
        <x:v>CAF-0090</x:v>
      </x:c>
      <x:c r="B91" s="36" t="n">
        <x:v>46207</x:v>
      </x:c>
      <x:c r="C91" s="35" t="str">
        <x:v>15:06</x:v>
      </x:c>
      <x:c r="D91" s="35" t="str">
        <x:v>Aplicativo</x:v>
      </x:c>
      <x:c r="E91" s="35" t="str">
        <x:v>Suco natural</x:v>
      </x:c>
      <x:c r="F91" s="35" t="str">
        <x:v>Bebidas frias</x:v>
      </x:c>
      <x:c r="G91" s="35" t="str">
        <x:v>Grande</x:v>
      </x:c>
      <x:c r="H91" s="35" t="n">
        <x:v>1</x:v>
      </x:c>
      <x:c r="I91" s="37" t="n">
        <x:v>11.9</x:v>
      </x:c>
      <x:c r="J91" s="38" t="n">
        <x:v>0</x:v>
      </x:c>
      <x:c r="K91" s="35" t="str">
        <x:v>Cartão de crédito</x:v>
      </x:c>
      <x:c r="L91" s="35" t="str">
        <x:v>Programa de fidelidade</x:v>
      </x:c>
      <x:c r="M91" s="35" t="str">
        <x:v>Concluído</x:v>
      </x:c>
      <x:c r="N91" s="35" t="n">
        <x:v>19</x:v>
      </x:c>
      <x:c r="O91" s="35" t="n">
        <x:v>4</x:v>
      </x:c>
      <x:c r="P91" s="37" t="n">
        <x:f>ROUND(H91*I91,2)</x:f>
        <x:v>11.9</x:v>
      </x:c>
      <x:c r="Q91" s="37" t="n">
        <x:f>ROUND(P91*J91,2)</x:f>
        <x:v>0</x:v>
      </x:c>
      <x:c r="R91" s="37" t="n">
        <x:f>ROUND(P91-Q91,2)</x:f>
        <x:v>11.9</x:v>
      </x:c>
      <x:c r="S91" s="37" t="n">
        <x:v>5.51</x:v>
      </x:c>
      <x:c r="T91" s="37" t="n">
        <x:f>ROUND(R91-S91,2)</x:f>
        <x:v>6.39</x:v>
      </x:c>
    </x:row>
    <x:row r="92">
      <x:c r="A92" s="35" t="str">
        <x:v>CAF-0091</x:v>
      </x:c>
      <x:c r="B92" s="36" t="n">
        <x:v>46208</x:v>
      </x:c>
      <x:c r="C92" s="35" t="str">
        <x:v>14:02</x:v>
      </x:c>
      <x:c r="D92" s="35" t="str">
        <x:v>Totem</x:v>
      </x:c>
      <x:c r="E92" s="35" t="str">
        <x:v>Croissant</x:v>
      </x:c>
      <x:c r="F92" s="35" t="str">
        <x:v>Comidas</x:v>
      </x:c>
      <x:c r="G92" s="35" t="str">
        <x:v>Único</x:v>
      </x:c>
      <x:c r="H92" s="35" t="n">
        <x:v>2</x:v>
      </x:c>
      <x:c r="I92" s="37" t="n">
        <x:v>12.5</x:v>
      </x:c>
      <x:c r="J92" s="38" t="n">
        <x:v>0.05</x:v>
      </x:c>
      <x:c r="K92" s="35" t="str">
        <x:v>Cartão de débito</x:v>
      </x:c>
      <x:c r="L92" s="35" t="str">
        <x:v>Recorrente</x:v>
      </x:c>
      <x:c r="M92" s="35" t="str">
        <x:v>Concluído</x:v>
      </x:c>
      <x:c r="N92" s="35" t="n">
        <x:v>20</x:v>
      </x:c>
      <x:c r="O92" s="35" t="n">
        <x:v>4</x:v>
      </x:c>
      <x:c r="P92" s="37" t="n">
        <x:f>ROUND(H92*I92,2)</x:f>
        <x:v>25</x:v>
      </x:c>
      <x:c r="Q92" s="37" t="n">
        <x:f>ROUND(P92*J92,2)</x:f>
        <x:v>1.25</x:v>
      </x:c>
      <x:c r="R92" s="37" t="n">
        <x:f>ROUND(P92-Q92,2)</x:f>
        <x:v>23.75</x:v>
      </x:c>
      <x:c r="S92" s="37" t="n">
        <x:v>11.49</x:v>
      </x:c>
      <x:c r="T92" s="37" t="n">
        <x:f>ROUND(R92-S92,2)</x:f>
        <x:v>12.26</x:v>
      </x:c>
    </x:row>
    <x:row r="93">
      <x:c r="A93" s="35" t="str">
        <x:v>CAF-0092</x:v>
      </x:c>
      <x:c r="B93" s="36" t="n">
        <x:v>46208</x:v>
      </x:c>
      <x:c r="C93" s="35" t="str">
        <x:v>15:32</x:v>
      </x:c>
      <x:c r="D93" s="35" t="str">
        <x:v>Balcão</x:v>
      </x:c>
      <x:c r="E93" s="35" t="str">
        <x:v>Brownie</x:v>
      </x:c>
      <x:c r="F93" s="35" t="str">
        <x:v>Comidas</x:v>
      </x:c>
      <x:c r="G93" s="35" t="str">
        <x:v>Fatia</x:v>
      </x:c>
      <x:c r="H93" s="35" t="n">
        <x:v>2</x:v>
      </x:c>
      <x:c r="I93" s="37" t="n">
        <x:v>9.5</x:v>
      </x:c>
      <x:c r="J93" s="38" t="n">
        <x:v>0</x:v>
      </x:c>
      <x:c r="K93" s="35" t="str">
        <x:v>Pix</x:v>
      </x:c>
      <x:c r="L93" s="35" t="str">
        <x:v>Novo</x:v>
      </x:c>
      <x:c r="M93" s="35" t="str">
        <x:v>Cancelado</x:v>
      </x:c>
      <x:c r="N93" s="35" t="n">
        <x:v>5</x:v>
      </x:c>
      <x:c r="O93" s="35"/>
      <x:c r="P93" s="37" t="n">
        <x:f>ROUND(H93*I93,2)</x:f>
        <x:v>19</x:v>
      </x:c>
      <x:c r="Q93" s="37" t="n">
        <x:f>ROUND(P93*J93,2)</x:f>
        <x:v>0</x:v>
      </x:c>
      <x:c r="R93" s="37" t="n">
        <x:f>ROUND(P93-Q93,2)</x:f>
        <x:v>19</x:v>
      </x:c>
      <x:c r="S93" s="37" t="n">
        <x:v>8.12</x:v>
      </x:c>
      <x:c r="T93" s="37" t="n">
        <x:f>ROUND(R93-S93,2)</x:f>
        <x:v>10.88</x:v>
      </x:c>
    </x:row>
    <x:row r="94">
      <x:c r="A94" s="35" t="str">
        <x:v>CAF-0093</x:v>
      </x:c>
      <x:c r="B94" s="36" t="n">
        <x:v>46234</x:v>
      </x:c>
      <x:c r="C94" s="35" t="str">
        <x:v>13:26</x:v>
      </x:c>
      <x:c r="D94" s="35" t="str">
        <x:v>Balcão</x:v>
      </x:c>
      <x:c r="E94" s="35" t="str">
        <x:v>Sanduíche natural</x:v>
      </x:c>
      <x:c r="F94" s="35" t="str">
        <x:v>Comidas</x:v>
      </x:c>
      <x:c r="G94" s="35" t="str">
        <x:v>Único</x:v>
      </x:c>
      <x:c r="H94" s="35" t="n">
        <x:v>3</x:v>
      </x:c>
      <x:c r="I94" s="37" t="n">
        <x:v>18.9</x:v>
      </x:c>
      <x:c r="J94" s="38" t="n">
        <x:v>0</x:v>
      </x:c>
      <x:c r="K94" s="35" t="str">
        <x:v>Dinheiro</x:v>
      </x:c>
      <x:c r="L94" s="35" t="str">
        <x:v>Novo</x:v>
      </x:c>
      <x:c r="M94" s="35" t="str">
        <x:v>Concluído</x:v>
      </x:c>
      <x:c r="N94" s="35" t="n">
        <x:v>18</x:v>
      </x:c>
      <x:c r="O94" s="35" t="n">
        <x:v>4</x:v>
      </x:c>
      <x:c r="P94" s="37" t="n">
        <x:f>ROUND(H94*I94,2)</x:f>
        <x:v>56.7</x:v>
      </x:c>
      <x:c r="Q94" s="37" t="n">
        <x:f>ROUND(P94*J94,2)</x:f>
        <x:v>0</x:v>
      </x:c>
      <x:c r="R94" s="37" t="n">
        <x:f>ROUND(P94-Q94,2)</x:f>
        <x:v>56.7</x:v>
      </x:c>
      <x:c r="S94" s="37" t="n">
        <x:v>25.59</x:v>
      </x:c>
      <x:c r="T94" s="37" t="n">
        <x:f>ROUND(R94-S94,2)</x:f>
        <x:v>31.11</x:v>
      </x:c>
    </x:row>
    <x:row r="95">
      <x:c r="A95" s="35" t="str">
        <x:v>CAF-0094</x:v>
      </x:c>
      <x:c r="B95" s="36" t="n">
        <x:v>46227</x:v>
      </x:c>
      <x:c r="C95" s="35" t="str">
        <x:v>09:12</x:v>
      </x:c>
      <x:c r="D95" s="35" t="str">
        <x:v>Totem</x:v>
      </x:c>
      <x:c r="E95" s="35" t="str">
        <x:v>Latte</x:v>
      </x:c>
      <x:c r="F95" s="35" t="str">
        <x:v>Cafés</x:v>
      </x:c>
      <x:c r="G95" s="35" t="str">
        <x:v>Médio</x:v>
      </x:c>
      <x:c r="H95" s="35" t="n">
        <x:v>1</x:v>
      </x:c>
      <x:c r="I95" s="37" t="n">
        <x:v>13.9</x:v>
      </x:c>
      <x:c r="J95" s="38" t="n">
        <x:v>0</x:v>
      </x:c>
      <x:c r="K95" s="35" t="str">
        <x:v>Cartão de débito</x:v>
      </x:c>
      <x:c r="L95" s="35" t="str">
        <x:v>Programa de fidelidade</x:v>
      </x:c>
      <x:c r="M95" s="35" t="str">
        <x:v>Concluído</x:v>
      </x:c>
      <x:c r="N95" s="35" t="n">
        <x:v>6</x:v>
      </x:c>
      <x:c r="O95" s="35" t="n">
        <x:v>3</x:v>
      </x:c>
      <x:c r="P95" s="37" t="n">
        <x:f>ROUND(H95*I95,2)</x:f>
        <x:v>13.9</x:v>
      </x:c>
      <x:c r="Q95" s="37" t="n">
        <x:f>ROUND(P95*J95,2)</x:f>
        <x:v>0</x:v>
      </x:c>
      <x:c r="R95" s="37" t="n">
        <x:f>ROUND(P95-Q95,2)</x:f>
        <x:v>13.9</x:v>
      </x:c>
      <x:c r="S95" s="37" t="n">
        <x:v>5.75</x:v>
      </x:c>
      <x:c r="T95" s="37" t="n">
        <x:f>ROUND(R95-S95,2)</x:f>
        <x:v>8.15</x:v>
      </x:c>
    </x:row>
    <x:row r="96">
      <x:c r="A96" s="35" t="str">
        <x:v>CAF-0095</x:v>
      </x:c>
      <x:c r="B96" s="36" t="n">
        <x:v>46218</x:v>
      </x:c>
      <x:c r="C96" s="35" t="str">
        <x:v>12:18</x:v>
      </x:c>
      <x:c r="D96" s="35" t="str">
        <x:v>Aplicativo</x:v>
      </x:c>
      <x:c r="E96" s="35" t="str">
        <x:v>Cookie</x:v>
      </x:c>
      <x:c r="F96" s="35" t="str">
        <x:v>Comidas</x:v>
      </x:c>
      <x:c r="G96" s="35" t="str">
        <x:v>Único</x:v>
      </x:c>
      <x:c r="H96" s="35" t="n">
        <x:v>4</x:v>
      </x:c>
      <x:c r="I96" s="37" t="n">
        <x:v>7.5</x:v>
      </x:c>
      <x:c r="J96" s="38" t="n">
        <x:v>0</x:v>
      </x:c>
      <x:c r="K96" s="35" t="str">
        <x:v>Pix</x:v>
      </x:c>
      <x:c r="L96" s="35" t="str">
        <x:v>Recorrente</x:v>
      </x:c>
      <x:c r="M96" s="35" t="str">
        <x:v>Concluído</x:v>
      </x:c>
      <x:c r="N96" s="35" t="n">
        <x:v>7</x:v>
      </x:c>
      <x:c r="O96" s="35" t="n">
        <x:v>3</x:v>
      </x:c>
      <x:c r="P96" s="37" t="n">
        <x:f>ROUND(H96*I96,2)</x:f>
        <x:v>30</x:v>
      </x:c>
      <x:c r="Q96" s="37" t="n">
        <x:f>ROUND(P96*J96,2)</x:f>
        <x:v>0</x:v>
      </x:c>
      <x:c r="R96" s="37" t="n">
        <x:f>ROUND(P96-Q96,2)</x:f>
        <x:v>30</x:v>
      </x:c>
      <x:c r="S96" s="37" t="n">
        <x:v>12.96</x:v>
      </x:c>
      <x:c r="T96" s="37" t="n">
        <x:f>ROUND(R96-S96,2)</x:f>
        <x:v>17.04</x:v>
      </x:c>
    </x:row>
    <x:row r="97">
      <x:c r="A97" s="35" t="str">
        <x:v>CAF-0096</x:v>
      </x:c>
      <x:c r="B97" s="36" t="n">
        <x:v>46207</x:v>
      </x:c>
      <x:c r="C97" s="35" t="str">
        <x:v>17:00</x:v>
      </x:c>
      <x:c r="D97" s="35" t="str">
        <x:v>Delivery</x:v>
      </x:c>
      <x:c r="E97" s="35" t="str">
        <x:v>Brownie</x:v>
      </x:c>
      <x:c r="F97" s="35" t="str">
        <x:v>Comidas</x:v>
      </x:c>
      <x:c r="G97" s="35" t="str">
        <x:v>Fatia</x:v>
      </x:c>
      <x:c r="H97" s="35" t="n">
        <x:v>1</x:v>
      </x:c>
      <x:c r="I97" s="37" t="n">
        <x:v>9.5</x:v>
      </x:c>
      <x:c r="J97" s="38" t="n">
        <x:v>0</x:v>
      </x:c>
      <x:c r="K97" s="35" t="str">
        <x:v>Dinheiro</x:v>
      </x:c>
      <x:c r="L97" s="35" t="str">
        <x:v>Novo</x:v>
      </x:c>
      <x:c r="M97" s="35" t="str">
        <x:v>Cancelado</x:v>
      </x:c>
      <x:c r="N97" s="35" t="n">
        <x:v>19</x:v>
      </x:c>
      <x:c r="O97" s="35"/>
      <x:c r="P97" s="37" t="n">
        <x:f>ROUND(H97*I97,2)</x:f>
        <x:v>9.5</x:v>
      </x:c>
      <x:c r="Q97" s="37" t="n">
        <x:f>ROUND(P97*J97,2)</x:f>
        <x:v>0</x:v>
      </x:c>
      <x:c r="R97" s="37" t="n">
        <x:f>ROUND(P97-Q97,2)</x:f>
        <x:v>9.5</x:v>
      </x:c>
      <x:c r="S97" s="37" t="n">
        <x:v>4.19</x:v>
      </x:c>
      <x:c r="T97" s="37" t="n">
        <x:f>ROUND(R97-S97,2)</x:f>
        <x:v>5.31</x:v>
      </x:c>
    </x:row>
    <x:row r="98">
      <x:c r="A98" s="35" t="str">
        <x:v>CAF-0097</x:v>
      </x:c>
      <x:c r="B98" s="36" t="n">
        <x:v>46230</x:v>
      </x:c>
      <x:c r="C98" s="35" t="str">
        <x:v>12:42</x:v>
      </x:c>
      <x:c r="D98" s="35" t="str">
        <x:v>Balcão</x:v>
      </x:c>
      <x:c r="E98" s="35" t="str">
        <x:v>Latte</x:v>
      </x:c>
      <x:c r="F98" s="35" t="str">
        <x:v>Cafés</x:v>
      </x:c>
      <x:c r="G98" s="35" t="str">
        <x:v>Médio</x:v>
      </x:c>
      <x:c r="H98" s="35" t="n">
        <x:v>4</x:v>
      </x:c>
      <x:c r="I98" s="37" t="n">
        <x:v>13.9</x:v>
      </x:c>
      <x:c r="J98" s="38" t="n">
        <x:v>0</x:v>
      </x:c>
      <x:c r="K98" s="35" t="str">
        <x:v>Cartão de débito</x:v>
      </x:c>
      <x:c r="L98" s="35" t="str">
        <x:v>Programa de fidelidade</x:v>
      </x:c>
      <x:c r="M98" s="35" t="str">
        <x:v>Concluído</x:v>
      </x:c>
      <x:c r="N98" s="35" t="n">
        <x:v>6</x:v>
      </x:c>
      <x:c r="O98" s="35" t="n">
        <x:v>3</x:v>
      </x:c>
      <x:c r="P98" s="37" t="n">
        <x:f>ROUND(H98*I98,2)</x:f>
        <x:v>55.6</x:v>
      </x:c>
      <x:c r="Q98" s="37" t="n">
        <x:f>ROUND(P98*J98,2)</x:f>
        <x:v>0</x:v>
      </x:c>
      <x:c r="R98" s="37" t="n">
        <x:f>ROUND(P98-Q98,2)</x:f>
        <x:v>55.6</x:v>
      </x:c>
      <x:c r="S98" s="37" t="n">
        <x:v>19.95</x:v>
      </x:c>
      <x:c r="T98" s="37" t="n">
        <x:f>ROUND(R98-S98,2)</x:f>
        <x:v>35.65</x:v>
      </x:c>
    </x:row>
    <x:row r="99">
      <x:c r="A99" s="35" t="str">
        <x:v>CAF-0098</x:v>
      </x:c>
      <x:c r="B99" s="36" t="n">
        <x:v>46224</x:v>
      </x:c>
      <x:c r="C99" s="35" t="str">
        <x:v>13:51</x:v>
      </x:c>
      <x:c r="D99" s="35" t="str">
        <x:v>Totem</x:v>
      </x:c>
      <x:c r="E99" s="35" t="str">
        <x:v>Chá gelado</x:v>
      </x:c>
      <x:c r="F99" s="35" t="str">
        <x:v>Bebidas frias</x:v>
      </x:c>
      <x:c r="G99" s="35" t="str">
        <x:v>Médio</x:v>
      </x:c>
      <x:c r="H99" s="35" t="n">
        <x:v>1</x:v>
      </x:c>
      <x:c r="I99" s="37" t="n">
        <x:v>9.9</x:v>
      </x:c>
      <x:c r="J99" s="38" t="n">
        <x:v>0</x:v>
      </x:c>
      <x:c r="K99" s="35" t="str">
        <x:v>Cartão de crédito</x:v>
      </x:c>
      <x:c r="L99" s="35" t="str">
        <x:v>Novo</x:v>
      </x:c>
      <x:c r="M99" s="35" t="str">
        <x:v>Concluído</x:v>
      </x:c>
      <x:c r="N99" s="35" t="n">
        <x:v>13</x:v>
      </x:c>
      <x:c r="O99" s="35" t="n">
        <x:v>3</x:v>
      </x:c>
      <x:c r="P99" s="37" t="n">
        <x:f>ROUND(H99*I99,2)</x:f>
        <x:v>9.9</x:v>
      </x:c>
      <x:c r="Q99" s="37" t="n">
        <x:f>ROUND(P99*J99,2)</x:f>
        <x:v>0</x:v>
      </x:c>
      <x:c r="R99" s="37" t="n">
        <x:f>ROUND(P99-Q99,2)</x:f>
        <x:v>9.9</x:v>
      </x:c>
      <x:c r="S99" s="37" t="n">
        <x:v>3.73</x:v>
      </x:c>
      <x:c r="T99" s="37" t="n">
        <x:f>ROUND(R99-S99,2)</x:f>
        <x:v>6.17</x:v>
      </x:c>
    </x:row>
    <x:row r="100">
      <x:c r="A100" s="35" t="str">
        <x:v>CAF-0099</x:v>
      </x:c>
      <x:c r="B100" s="36" t="n">
        <x:v>46213</x:v>
      </x:c>
      <x:c r="C100" s="35" t="str">
        <x:v>07:06</x:v>
      </x:c>
      <x:c r="D100" s="35" t="str">
        <x:v>Aplicativo</x:v>
      </x:c>
      <x:c r="E100" s="35" t="str">
        <x:v>Cappuccino</x:v>
      </x:c>
      <x:c r="F100" s="35" t="str">
        <x:v>Cafés</x:v>
      </x:c>
      <x:c r="G100" s="35" t="str">
        <x:v>Médio</x:v>
      </x:c>
      <x:c r="H100" s="35" t="n">
        <x:v>2</x:v>
      </x:c>
      <x:c r="I100" s="37" t="n">
        <x:v>12.9</x:v>
      </x:c>
      <x:c r="J100" s="38" t="n">
        <x:v>0</x:v>
      </x:c>
      <x:c r="K100" s="35" t="str">
        <x:v>Dinheiro</x:v>
      </x:c>
      <x:c r="L100" s="35" t="str">
        <x:v>Novo</x:v>
      </x:c>
      <x:c r="M100" s="35" t="str">
        <x:v>Concluído</x:v>
      </x:c>
      <x:c r="N100" s="35" t="n">
        <x:v>8</x:v>
      </x:c>
      <x:c r="O100" s="35" t="n">
        <x:v>4</x:v>
      </x:c>
      <x:c r="P100" s="37" t="n">
        <x:f>ROUND(H100*I100,2)</x:f>
        <x:v>25.8</x:v>
      </x:c>
      <x:c r="Q100" s="37" t="n">
        <x:f>ROUND(P100*J100,2)</x:f>
        <x:v>0</x:v>
      </x:c>
      <x:c r="R100" s="37" t="n">
        <x:f>ROUND(P100-Q100,2)</x:f>
        <x:v>25.8</x:v>
      </x:c>
      <x:c r="S100" s="37" t="n">
        <x:v>10.95</x:v>
      </x:c>
      <x:c r="T100" s="37" t="n">
        <x:f>ROUND(R100-S100,2)</x:f>
        <x:v>14.85</x:v>
      </x:c>
    </x:row>
    <x:row r="101">
      <x:c r="A101" s="35" t="str">
        <x:v>CAF-0100</x:v>
      </x:c>
      <x:c r="B101" s="36" t="n">
        <x:v>46231</x:v>
      </x:c>
      <x:c r="C101" s="35" t="str">
        <x:v>15:32</x:v>
      </x:c>
      <x:c r="D101" s="35" t="str">
        <x:v>Aplicativo</x:v>
      </x:c>
      <x:c r="E101" s="35" t="str">
        <x:v>Croissant</x:v>
      </x:c>
      <x:c r="F101" s="35" t="str">
        <x:v>Comidas</x:v>
      </x:c>
      <x:c r="G101" s="35" t="str">
        <x:v>Único</x:v>
      </x:c>
      <x:c r="H101" s="35" t="n">
        <x:v>1</x:v>
      </x:c>
      <x:c r="I101" s="37" t="n">
        <x:v>12.5</x:v>
      </x:c>
      <x:c r="J101" s="38" t="n">
        <x:v>0</x:v>
      </x:c>
      <x:c r="K101" s="35" t="str">
        <x:v>Dinheiro</x:v>
      </x:c>
      <x:c r="L101" s="35" t="str">
        <x:v>Programa de fidelidade</x:v>
      </x:c>
      <x:c r="M101" s="35" t="str">
        <x:v>Concluído</x:v>
      </x:c>
      <x:c r="N101" s="35" t="n">
        <x:v>8</x:v>
      </x:c>
      <x:c r="O101" s="35" t="n">
        <x:v>4</x:v>
      </x:c>
      <x:c r="P101" s="37" t="n">
        <x:f>ROUND(H101*I101,2)</x:f>
        <x:v>12.5</x:v>
      </x:c>
      <x:c r="Q101" s="37" t="n">
        <x:f>ROUND(P101*J101,2)</x:f>
        <x:v>0</x:v>
      </x:c>
      <x:c r="R101" s="37" t="n">
        <x:f>ROUND(P101-Q101,2)</x:f>
        <x:v>12.5</x:v>
      </x:c>
      <x:c r="S101" s="37" t="n">
        <x:v>5.86</x:v>
      </x:c>
      <x:c r="T101" s="37" t="n">
        <x:f>ROUND(R101-S101,2)</x:f>
        <x:v>6.64</x:v>
      </x:c>
    </x:row>
    <x:row r="102">
      <x:c r="A102" s="35" t="str">
        <x:v>CAF-0101</x:v>
      </x:c>
      <x:c r="B102" s="36" t="n">
        <x:v>46223</x:v>
      </x:c>
      <x:c r="C102" s="35" t="str">
        <x:v>15:42</x:v>
      </x:c>
      <x:c r="D102" s="35" t="str">
        <x:v>Totem</x:v>
      </x:c>
      <x:c r="E102" s="35" t="str">
        <x:v>Latte</x:v>
      </x:c>
      <x:c r="F102" s="35" t="str">
        <x:v>Cafés</x:v>
      </x:c>
      <x:c r="G102" s="35" t="str">
        <x:v>Médio</x:v>
      </x:c>
      <x:c r="H102" s="35" t="n">
        <x:v>3</x:v>
      </x:c>
      <x:c r="I102" s="37" t="n">
        <x:v>13.9</x:v>
      </x:c>
      <x:c r="J102" s="38" t="n">
        <x:v>0.1</x:v>
      </x:c>
      <x:c r="K102" s="35" t="str">
        <x:v>Pix</x:v>
      </x:c>
      <x:c r="L102" s="35" t="str">
        <x:v>Novo</x:v>
      </x:c>
      <x:c r="M102" s="35" t="str">
        <x:v>Cancelado</x:v>
      </x:c>
      <x:c r="N102" s="35" t="n">
        <x:v>19</x:v>
      </x:c>
      <x:c r="O102" s="35"/>
      <x:c r="P102" s="37" t="n">
        <x:f>ROUND(H102*I102,2)</x:f>
        <x:v>41.7</x:v>
      </x:c>
      <x:c r="Q102" s="37" t="n">
        <x:f>ROUND(P102*J102,2)</x:f>
        <x:v>4.17</x:v>
      </x:c>
      <x:c r="R102" s="37" t="n">
        <x:f>ROUND(P102-Q102,2)</x:f>
        <x:v>37.53</x:v>
      </x:c>
      <x:c r="S102" s="37" t="n">
        <x:v>17.45</x:v>
      </x:c>
      <x:c r="T102" s="37" t="n">
        <x:f>ROUND(R102-S102,2)</x:f>
        <x:v>20.08</x:v>
      </x:c>
    </x:row>
    <x:row r="103">
      <x:c r="A103" s="35" t="str">
        <x:v>CAF-0102</x:v>
      </x:c>
      <x:c r="B103" s="36" t="n">
        <x:v>46214</x:v>
      </x:c>
      <x:c r="C103" s="35" t="str">
        <x:v>07:35</x:v>
      </x:c>
      <x:c r="D103" s="35" t="str">
        <x:v>Balcão</x:v>
      </x:c>
      <x:c r="E103" s="35" t="str">
        <x:v>Croissant</x:v>
      </x:c>
      <x:c r="F103" s="35" t="str">
        <x:v>Comidas</x:v>
      </x:c>
      <x:c r="G103" s="35" t="str">
        <x:v>Único</x:v>
      </x:c>
      <x:c r="H103" s="35" t="n">
        <x:v>3</x:v>
      </x:c>
      <x:c r="I103" s="37" t="n">
        <x:v>12.5</x:v>
      </x:c>
      <x:c r="J103" s="38" t="n">
        <x:v>0.1</x:v>
      </x:c>
      <x:c r="K103" s="35" t="str">
        <x:v>Cartão de débito</x:v>
      </x:c>
      <x:c r="L103" s="35" t="str">
        <x:v>Novo</x:v>
      </x:c>
      <x:c r="M103" s="35" t="str">
        <x:v>Concluído</x:v>
      </x:c>
      <x:c r="N103" s="35" t="n">
        <x:v>5</x:v>
      </x:c>
      <x:c r="O103" s="35" t="n">
        <x:v>4</x:v>
      </x:c>
      <x:c r="P103" s="37" t="n">
        <x:f>ROUND(H103*I103,2)</x:f>
        <x:v>37.5</x:v>
      </x:c>
      <x:c r="Q103" s="37" t="n">
        <x:f>ROUND(P103*J103,2)</x:f>
        <x:v>3.75</x:v>
      </x:c>
      <x:c r="R103" s="37" t="n">
        <x:f>ROUND(P103-Q103,2)</x:f>
        <x:v>33.75</x:v>
      </x:c>
      <x:c r="S103" s="37" t="n">
        <x:v>14.04</x:v>
      </x:c>
      <x:c r="T103" s="37" t="n">
        <x:f>ROUND(R103-S103,2)</x:f>
        <x:v>19.71</x:v>
      </x:c>
    </x:row>
    <x:row r="104">
      <x:c r="A104" s="35" t="str">
        <x:v>CAF-0103</x:v>
      </x:c>
      <x:c r="B104" s="36" t="n">
        <x:v>46232</x:v>
      </x:c>
      <x:c r="C104" s="35" t="str">
        <x:v>08:43</x:v>
      </x:c>
      <x:c r="D104" s="35" t="str">
        <x:v>Balcão</x:v>
      </x:c>
      <x:c r="E104" s="35" t="str">
        <x:v>Bolo de chocolate</x:v>
      </x:c>
      <x:c r="F104" s="35" t="str">
        <x:v>Comidas</x:v>
      </x:c>
      <x:c r="G104" s="35" t="str">
        <x:v>Fatia</x:v>
      </x:c>
      <x:c r="H104" s="35" t="n">
        <x:v>3</x:v>
      </x:c>
      <x:c r="I104" s="37" t="n">
        <x:v>10.9</x:v>
      </x:c>
      <x:c r="J104" s="38" t="n">
        <x:v>0</x:v>
      </x:c>
      <x:c r="K104" s="35" t="str">
        <x:v>Dinheiro</x:v>
      </x:c>
      <x:c r="L104" s="35" t="str">
        <x:v>Programa de fidelidade</x:v>
      </x:c>
      <x:c r="M104" s="35" t="str">
        <x:v>Concluído</x:v>
      </x:c>
      <x:c r="N104" s="35" t="n">
        <x:v>10</x:v>
      </x:c>
      <x:c r="O104" s="35" t="n">
        <x:v>3</x:v>
      </x:c>
      <x:c r="P104" s="37" t="n">
        <x:f>ROUND(H104*I104,2)</x:f>
        <x:v>32.7</x:v>
      </x:c>
      <x:c r="Q104" s="37" t="n">
        <x:f>ROUND(P104*J104,2)</x:f>
        <x:v>0</x:v>
      </x:c>
      <x:c r="R104" s="37" t="n">
        <x:f>ROUND(P104-Q104,2)</x:f>
        <x:v>32.7</x:v>
      </x:c>
      <x:c r="S104" s="37" t="n">
        <x:v>13.51</x:v>
      </x:c>
      <x:c r="T104" s="37" t="n">
        <x:f>ROUND(R104-S104,2)</x:f>
        <x:v>19.19</x:v>
      </x:c>
    </x:row>
    <x:row r="105">
      <x:c r="A105" s="35" t="str">
        <x:v>CAF-0104</x:v>
      </x:c>
      <x:c r="B105" s="36" t="n">
        <x:v>46210</x:v>
      </x:c>
      <x:c r="C105" s="35" t="str">
        <x:v>12:01</x:v>
      </x:c>
      <x:c r="D105" s="35" t="str">
        <x:v>Delivery</x:v>
      </x:c>
      <x:c r="E105" s="35" t="str">
        <x:v>Latte</x:v>
      </x:c>
      <x:c r="F105" s="35" t="str">
        <x:v>Cafés</x:v>
      </x:c>
      <x:c r="G105" s="35" t="str">
        <x:v>Médio</x:v>
      </x:c>
      <x:c r="H105" s="35" t="n">
        <x:v>2</x:v>
      </x:c>
      <x:c r="I105" s="37" t="n">
        <x:v>13.9</x:v>
      </x:c>
      <x:c r="J105" s="38" t="n">
        <x:v>0</x:v>
      </x:c>
      <x:c r="K105" s="35" t="str">
        <x:v>Pix</x:v>
      </x:c>
      <x:c r="L105" s="35" t="str">
        <x:v>Novo</x:v>
      </x:c>
      <x:c r="M105" s="35" t="str">
        <x:v>Concluído</x:v>
      </x:c>
      <x:c r="N105" s="35" t="n">
        <x:v>19</x:v>
      </x:c>
      <x:c r="O105" s="35" t="n">
        <x:v>5</x:v>
      </x:c>
      <x:c r="P105" s="37" t="n">
        <x:f>ROUND(H105*I105,2)</x:f>
        <x:v>27.8</x:v>
      </x:c>
      <x:c r="Q105" s="37" t="n">
        <x:f>ROUND(P105*J105,2)</x:f>
        <x:v>0</x:v>
      </x:c>
      <x:c r="R105" s="37" t="n">
        <x:f>ROUND(P105-Q105,2)</x:f>
        <x:v>27.8</x:v>
      </x:c>
      <x:c r="S105" s="37" t="n">
        <x:v>10.13</x:v>
      </x:c>
      <x:c r="T105" s="37" t="n">
        <x:f>ROUND(R105-S105,2)</x:f>
        <x:v>17.67</x:v>
      </x:c>
    </x:row>
    <x:row r="106">
      <x:c r="A106" s="35" t="str">
        <x:v>CAF-0105</x:v>
      </x:c>
      <x:c r="B106" s="36" t="n">
        <x:v>46222</x:v>
      </x:c>
      <x:c r="C106" s="35" t="str">
        <x:v>16:23</x:v>
      </x:c>
      <x:c r="D106" s="35" t="str">
        <x:v>Totem</x:v>
      </x:c>
      <x:c r="E106" s="35" t="str">
        <x:v>Suco natural</x:v>
      </x:c>
      <x:c r="F106" s="35" t="str">
        <x:v>Bebidas frias</x:v>
      </x:c>
      <x:c r="G106" s="35" t="str">
        <x:v>Grande</x:v>
      </x:c>
      <x:c r="H106" s="35" t="n">
        <x:v>4</x:v>
      </x:c>
      <x:c r="I106" s="37" t="n">
        <x:v>11.9</x:v>
      </x:c>
      <x:c r="J106" s="38" t="n">
        <x:v>0.05</x:v>
      </x:c>
      <x:c r="K106" s="35" t="str">
        <x:v>Cartão de crédito</x:v>
      </x:c>
      <x:c r="L106" s="35" t="str">
        <x:v>Recorrente</x:v>
      </x:c>
      <x:c r="M106" s="35" t="str">
        <x:v>Concluído</x:v>
      </x:c>
      <x:c r="N106" s="35" t="n">
        <x:v>20</x:v>
      </x:c>
      <x:c r="O106" s="35" t="n">
        <x:v>4</x:v>
      </x:c>
      <x:c r="P106" s="37" t="n">
        <x:f>ROUND(H106*I106,2)</x:f>
        <x:v>47.6</x:v>
      </x:c>
      <x:c r="Q106" s="37" t="n">
        <x:f>ROUND(P106*J106,2)</x:f>
        <x:v>2.38</x:v>
      </x:c>
      <x:c r="R106" s="37" t="n">
        <x:f>ROUND(P106-Q106,2)</x:f>
        <x:v>45.22</x:v>
      </x:c>
      <x:c r="S106" s="37" t="n">
        <x:v>21.2</x:v>
      </x:c>
      <x:c r="T106" s="37" t="n">
        <x:f>ROUND(R106-S106,2)</x:f>
        <x:v>24.02</x:v>
      </x:c>
    </x:row>
    <x:row r="107">
      <x:c r="A107" s="35" t="str">
        <x:v>CAF-0106</x:v>
      </x:c>
      <x:c r="B107" s="36" t="n">
        <x:v>46231</x:v>
      </x:c>
      <x:c r="C107" s="35" t="str">
        <x:v>18:45</x:v>
      </x:c>
      <x:c r="D107" s="35" t="str">
        <x:v>Delivery</x:v>
      </x:c>
      <x:c r="E107" s="35" t="str">
        <x:v>Suco natural</x:v>
      </x:c>
      <x:c r="F107" s="35" t="str">
        <x:v>Bebidas frias</x:v>
      </x:c>
      <x:c r="G107" s="35" t="str">
        <x:v>Grande</x:v>
      </x:c>
      <x:c r="H107" s="35" t="n">
        <x:v>4</x:v>
      </x:c>
      <x:c r="I107" s="37" t="n">
        <x:v>11.9</x:v>
      </x:c>
      <x:c r="J107" s="38" t="n">
        <x:v>0.05</x:v>
      </x:c>
      <x:c r="K107" s="35" t="str">
        <x:v>Pix</x:v>
      </x:c>
      <x:c r="L107" s="35" t="str">
        <x:v>Programa de fidelidade</x:v>
      </x:c>
      <x:c r="M107" s="35" t="str">
        <x:v>Cancelado</x:v>
      </x:c>
      <x:c r="N107" s="35" t="n">
        <x:v>3</x:v>
      </x:c>
      <x:c r="O107" s="35"/>
      <x:c r="P107" s="37" t="n">
        <x:f>ROUND(H107*I107,2)</x:f>
        <x:v>47.6</x:v>
      </x:c>
      <x:c r="Q107" s="37" t="n">
        <x:f>ROUND(P107*J107,2)</x:f>
        <x:v>2.38</x:v>
      </x:c>
      <x:c r="R107" s="37" t="n">
        <x:f>ROUND(P107-Q107,2)</x:f>
        <x:v>45.22</x:v>
      </x:c>
      <x:c r="S107" s="37" t="n">
        <x:v>21.22</x:v>
      </x:c>
      <x:c r="T107" s="37" t="n">
        <x:f>ROUND(R107-S107,2)</x:f>
        <x:v>24</x:v>
      </x:c>
    </x:row>
    <x:row r="108">
      <x:c r="A108" s="35" t="str">
        <x:v>CAF-0107</x:v>
      </x:c>
      <x:c r="B108" s="36" t="n">
        <x:v>46219</x:v>
      </x:c>
      <x:c r="C108" s="35" t="str">
        <x:v>18:12</x:v>
      </x:c>
      <x:c r="D108" s="35" t="str">
        <x:v>Balcão</x:v>
      </x:c>
      <x:c r="E108" s="35" t="str">
        <x:v>Croissant</x:v>
      </x:c>
      <x:c r="F108" s="35" t="str">
        <x:v>Comidas</x:v>
      </x:c>
      <x:c r="G108" s="35" t="str">
        <x:v>Único</x:v>
      </x:c>
      <x:c r="H108" s="35" t="n">
        <x:v>3</x:v>
      </x:c>
      <x:c r="I108" s="37" t="n">
        <x:v>12.5</x:v>
      </x:c>
      <x:c r="J108" s="38" t="n">
        <x:v>0</x:v>
      </x:c>
      <x:c r="K108" s="35" t="str">
        <x:v>Pix</x:v>
      </x:c>
      <x:c r="L108" s="35" t="str">
        <x:v>Recorrente</x:v>
      </x:c>
      <x:c r="M108" s="35" t="str">
        <x:v>Concluído</x:v>
      </x:c>
      <x:c r="N108" s="35" t="n">
        <x:v>16</x:v>
      </x:c>
      <x:c r="O108" s="35" t="n">
        <x:v>3</x:v>
      </x:c>
      <x:c r="P108" s="37" t="n">
        <x:f>ROUND(H108*I108,2)</x:f>
        <x:v>37.5</x:v>
      </x:c>
      <x:c r="Q108" s="37" t="n">
        <x:f>ROUND(P108*J108,2)</x:f>
        <x:v>0</x:v>
      </x:c>
      <x:c r="R108" s="37" t="n">
        <x:f>ROUND(P108-Q108,2)</x:f>
        <x:v>37.5</x:v>
      </x:c>
      <x:c r="S108" s="37" t="n">
        <x:v>13.57</x:v>
      </x:c>
      <x:c r="T108" s="37" t="n">
        <x:f>ROUND(R108-S108,2)</x:f>
        <x:v>23.93</x:v>
      </x:c>
    </x:row>
    <x:row r="109">
      <x:c r="A109" s="35" t="str">
        <x:v>CAF-0108</x:v>
      </x:c>
      <x:c r="B109" s="36" t="n">
        <x:v>46205</x:v>
      </x:c>
      <x:c r="C109" s="35" t="str">
        <x:v>08:15</x:v>
      </x:c>
      <x:c r="D109" s="35" t="str">
        <x:v>Delivery</x:v>
      </x:c>
      <x:c r="E109" s="35" t="str">
        <x:v>Cappuccino</x:v>
      </x:c>
      <x:c r="F109" s="35" t="str">
        <x:v>Cafés</x:v>
      </x:c>
      <x:c r="G109" s="35" t="str">
        <x:v>Médio</x:v>
      </x:c>
      <x:c r="H109" s="35" t="n">
        <x:v>3</x:v>
      </x:c>
      <x:c r="I109" s="37" t="n">
        <x:v>12.9</x:v>
      </x:c>
      <x:c r="J109" s="38" t="n">
        <x:v>0</x:v>
      </x:c>
      <x:c r="K109" s="35" t="str">
        <x:v>Cartão de débito</x:v>
      </x:c>
      <x:c r="L109" s="35" t="str">
        <x:v>Novo</x:v>
      </x:c>
      <x:c r="M109" s="35" t="str">
        <x:v>Cancelado</x:v>
      </x:c>
      <x:c r="N109" s="35" t="n">
        <x:v>10</x:v>
      </x:c>
      <x:c r="O109" s="35"/>
      <x:c r="P109" s="37" t="n">
        <x:f>ROUND(H109*I109,2)</x:f>
        <x:v>38.7</x:v>
      </x:c>
      <x:c r="Q109" s="37" t="n">
        <x:f>ROUND(P109*J109,2)</x:f>
        <x:v>0</x:v>
      </x:c>
      <x:c r="R109" s="37" t="n">
        <x:f>ROUND(P109-Q109,2)</x:f>
        <x:v>38.7</x:v>
      </x:c>
      <x:c r="S109" s="37" t="n">
        <x:v>14.25</x:v>
      </x:c>
      <x:c r="T109" s="37" t="n">
        <x:f>ROUND(R109-S109,2)</x:f>
        <x:v>24.45</x:v>
      </x:c>
    </x:row>
    <x:row r="110">
      <x:c r="A110" s="35" t="str">
        <x:v>CAF-0109</x:v>
      </x:c>
      <x:c r="B110" s="36" t="n">
        <x:v>46228</x:v>
      </x:c>
      <x:c r="C110" s="35" t="str">
        <x:v>09:13</x:v>
      </x:c>
      <x:c r="D110" s="35" t="str">
        <x:v>Delivery</x:v>
      </x:c>
      <x:c r="E110" s="35" t="str">
        <x:v>Suco natural</x:v>
      </x:c>
      <x:c r="F110" s="35" t="str">
        <x:v>Bebidas frias</x:v>
      </x:c>
      <x:c r="G110" s="35" t="str">
        <x:v>Grande</x:v>
      </x:c>
      <x:c r="H110" s="35" t="n">
        <x:v>1</x:v>
      </x:c>
      <x:c r="I110" s="37" t="n">
        <x:v>11.9</x:v>
      </x:c>
      <x:c r="J110" s="38" t="n">
        <x:v>0</x:v>
      </x:c>
      <x:c r="K110" s="35" t="str">
        <x:v>Pix</x:v>
      </x:c>
      <x:c r="L110" s="35" t="str">
        <x:v>Recorrente</x:v>
      </x:c>
      <x:c r="M110" s="35" t="str">
        <x:v>Concluído</x:v>
      </x:c>
      <x:c r="N110" s="35" t="n">
        <x:v>11</x:v>
      </x:c>
      <x:c r="O110" s="35" t="n">
        <x:v>5</x:v>
      </x:c>
      <x:c r="P110" s="37" t="n">
        <x:f>ROUND(H110*I110,2)</x:f>
        <x:v>11.9</x:v>
      </x:c>
      <x:c r="Q110" s="37" t="n">
        <x:f>ROUND(P110*J110,2)</x:f>
        <x:v>0</x:v>
      </x:c>
      <x:c r="R110" s="37" t="n">
        <x:f>ROUND(P110-Q110,2)</x:f>
        <x:v>11.9</x:v>
      </x:c>
      <x:c r="S110" s="37" t="n">
        <x:v>4.54</x:v>
      </x:c>
      <x:c r="T110" s="37" t="n">
        <x:f>ROUND(R110-S110,2)</x:f>
        <x:v>7.36</x:v>
      </x:c>
    </x:row>
    <x:row r="111">
      <x:c r="A111" s="35" t="str">
        <x:v>CAF-0110</x:v>
      </x:c>
      <x:c r="B111" s="36" t="n">
        <x:v>46209</x:v>
      </x:c>
      <x:c r="C111" s="35" t="str">
        <x:v>10:40</x:v>
      </x:c>
      <x:c r="D111" s="35" t="str">
        <x:v>Totem</x:v>
      </x:c>
      <x:c r="E111" s="35" t="str">
        <x:v>Cookie</x:v>
      </x:c>
      <x:c r="F111" s="35" t="str">
        <x:v>Comidas</x:v>
      </x:c>
      <x:c r="G111" s="35" t="str">
        <x:v>Único</x:v>
      </x:c>
      <x:c r="H111" s="35" t="n">
        <x:v>3</x:v>
      </x:c>
      <x:c r="I111" s="37" t="n">
        <x:v>7.5</x:v>
      </x:c>
      <x:c r="J111" s="38" t="n">
        <x:v>0</x:v>
      </x:c>
      <x:c r="K111" s="35" t="str">
        <x:v>Cartão de crédito</x:v>
      </x:c>
      <x:c r="L111" s="35" t="str">
        <x:v>Novo</x:v>
      </x:c>
      <x:c r="M111" s="35" t="str">
        <x:v>Concluído</x:v>
      </x:c>
      <x:c r="N111" s="35" t="n">
        <x:v>8</x:v>
      </x:c>
      <x:c r="O111" s="35" t="n">
        <x:v>3</x:v>
      </x:c>
      <x:c r="P111" s="37" t="n">
        <x:f>ROUND(H111*I111,2)</x:f>
        <x:v>22.5</x:v>
      </x:c>
      <x:c r="Q111" s="37" t="n">
        <x:f>ROUND(P111*J111,2)</x:f>
        <x:v>0</x:v>
      </x:c>
      <x:c r="R111" s="37" t="n">
        <x:f>ROUND(P111-Q111,2)</x:f>
        <x:v>22.5</x:v>
      </x:c>
      <x:c r="S111" s="37" t="n">
        <x:v>10.16</x:v>
      </x:c>
      <x:c r="T111" s="37" t="n">
        <x:f>ROUND(R111-S111,2)</x:f>
        <x:v>12.34</x:v>
      </x:c>
    </x:row>
    <x:row r="112">
      <x:c r="A112" s="35" t="str">
        <x:v>CAF-0111</x:v>
      </x:c>
      <x:c r="B112" s="36" t="n">
        <x:v>46205</x:v>
      </x:c>
      <x:c r="C112" s="35" t="str">
        <x:v>17:10</x:v>
      </x:c>
      <x:c r="D112" s="35" t="str">
        <x:v>Balcão</x:v>
      </x:c>
      <x:c r="E112" s="35" t="str">
        <x:v>Pão de queijo</x:v>
      </x:c>
      <x:c r="F112" s="35" t="str">
        <x:v>Comidas</x:v>
      </x:c>
      <x:c r="G112" s="35" t="str">
        <x:v>Porção</x:v>
      </x:c>
      <x:c r="H112" s="35" t="n">
        <x:v>3</x:v>
      </x:c>
      <x:c r="I112" s="37" t="n">
        <x:v>8.5</x:v>
      </x:c>
      <x:c r="J112" s="38" t="n">
        <x:v>0</x:v>
      </x:c>
      <x:c r="K112" s="35" t="str">
        <x:v>Cartão de débito</x:v>
      </x:c>
      <x:c r="L112" s="35" t="str">
        <x:v>Recorrente</x:v>
      </x:c>
      <x:c r="M112" s="35" t="str">
        <x:v>Concluído</x:v>
      </x:c>
      <x:c r="N112" s="35" t="n">
        <x:v>19</x:v>
      </x:c>
      <x:c r="O112" s="35" t="n">
        <x:v>3</x:v>
      </x:c>
      <x:c r="P112" s="37" t="n">
        <x:f>ROUND(H112*I112,2)</x:f>
        <x:v>25.5</x:v>
      </x:c>
      <x:c r="Q112" s="37" t="n">
        <x:f>ROUND(P112*J112,2)</x:f>
        <x:v>0</x:v>
      </x:c>
      <x:c r="R112" s="37" t="n">
        <x:f>ROUND(P112-Q112,2)</x:f>
        <x:v>25.5</x:v>
      </x:c>
      <x:c r="S112" s="37" t="n">
        <x:v>9.81</x:v>
      </x:c>
      <x:c r="T112" s="37" t="n">
        <x:f>ROUND(R112-S112,2)</x:f>
        <x:v>15.69</x:v>
      </x:c>
    </x:row>
    <x:row r="113">
      <x:c r="A113" s="35" t="str">
        <x:v>CAF-0112</x:v>
      </x:c>
      <x:c r="B113" s="36" t="n">
        <x:v>46213</x:v>
      </x:c>
      <x:c r="C113" s="35" t="str">
        <x:v>13:58</x:v>
      </x:c>
      <x:c r="D113" s="35" t="str">
        <x:v>Delivery</x:v>
      </x:c>
      <x:c r="E113" s="35" t="str">
        <x:v>Latte</x:v>
      </x:c>
      <x:c r="F113" s="35" t="str">
        <x:v>Cafés</x:v>
      </x:c>
      <x:c r="G113" s="35" t="str">
        <x:v>Médio</x:v>
      </x:c>
      <x:c r="H113" s="35" t="n">
        <x:v>1</x:v>
      </x:c>
      <x:c r="I113" s="37" t="n">
        <x:v>13.9</x:v>
      </x:c>
      <x:c r="J113" s="38" t="n">
        <x:v>0</x:v>
      </x:c>
      <x:c r="K113" s="35" t="str">
        <x:v>Cartão de crédito</x:v>
      </x:c>
      <x:c r="L113" s="35" t="str">
        <x:v>Programa de fidelidade</x:v>
      </x:c>
      <x:c r="M113" s="35" t="str">
        <x:v>Concluído</x:v>
      </x:c>
      <x:c r="N113" s="35" t="n">
        <x:v>9</x:v>
      </x:c>
      <x:c r="O113" s="35" t="n">
        <x:v>5</x:v>
      </x:c>
      <x:c r="P113" s="37" t="n">
        <x:f>ROUND(H113*I113,2)</x:f>
        <x:v>13.9</x:v>
      </x:c>
      <x:c r="Q113" s="37" t="n">
        <x:f>ROUND(P113*J113,2)</x:f>
        <x:v>0</x:v>
      </x:c>
      <x:c r="R113" s="37" t="n">
        <x:f>ROUND(P113-Q113,2)</x:f>
        <x:v>13.9</x:v>
      </x:c>
      <x:c r="S113" s="37" t="n">
        <x:v>5.7</x:v>
      </x:c>
      <x:c r="T113" s="37" t="n">
        <x:f>ROUND(R113-S113,2)</x:f>
        <x:v>8.2</x:v>
      </x:c>
    </x:row>
    <x:row r="114">
      <x:c r="A114" s="35" t="str">
        <x:v>CAF-0113</x:v>
      </x:c>
      <x:c r="B114" s="36" t="n">
        <x:v>46217</x:v>
      </x:c>
      <x:c r="C114" s="35" t="str">
        <x:v>09:42</x:v>
      </x:c>
      <x:c r="D114" s="35" t="str">
        <x:v>Totem</x:v>
      </x:c>
      <x:c r="E114" s="35" t="str">
        <x:v>Bolo de chocolate</x:v>
      </x:c>
      <x:c r="F114" s="35" t="str">
        <x:v>Comidas</x:v>
      </x:c>
      <x:c r="G114" s="35" t="str">
        <x:v>Fatia</x:v>
      </x:c>
      <x:c r="H114" s="35" t="n">
        <x:v>1</x:v>
      </x:c>
      <x:c r="I114" s="37" t="n">
        <x:v>10.9</x:v>
      </x:c>
      <x:c r="J114" s="38" t="n">
        <x:v>0</x:v>
      </x:c>
      <x:c r="K114" s="35" t="str">
        <x:v>Cartão de crédito</x:v>
      </x:c>
      <x:c r="L114" s="35" t="str">
        <x:v>Programa de fidelidade</x:v>
      </x:c>
      <x:c r="M114" s="35" t="str">
        <x:v>Cancelado</x:v>
      </x:c>
      <x:c r="N114" s="35" t="n">
        <x:v>12</x:v>
      </x:c>
      <x:c r="O114" s="35"/>
      <x:c r="P114" s="37" t="n">
        <x:f>ROUND(H114*I114,2)</x:f>
        <x:v>10.9</x:v>
      </x:c>
      <x:c r="Q114" s="37" t="n">
        <x:f>ROUND(P114*J114,2)</x:f>
        <x:v>0</x:v>
      </x:c>
      <x:c r="R114" s="37" t="n">
        <x:f>ROUND(P114-Q114,2)</x:f>
        <x:v>10.9</x:v>
      </x:c>
      <x:c r="S114" s="37" t="n">
        <x:v>4.47</x:v>
      </x:c>
      <x:c r="T114" s="37" t="n">
        <x:f>ROUND(R114-S114,2)</x:f>
        <x:v>6.43</x:v>
      </x:c>
    </x:row>
    <x:row r="115">
      <x:c r="A115" s="35" t="str">
        <x:v>CAF-0114</x:v>
      </x:c>
      <x:c r="B115" s="36" t="n">
        <x:v>46219</x:v>
      </x:c>
      <x:c r="C115" s="35" t="str">
        <x:v>16:35</x:v>
      </x:c>
      <x:c r="D115" s="35" t="str">
        <x:v>Balcão</x:v>
      </x:c>
      <x:c r="E115" s="35" t="str">
        <x:v>Sanduíche natural</x:v>
      </x:c>
      <x:c r="F115" s="35" t="str">
        <x:v>Comidas</x:v>
      </x:c>
      <x:c r="G115" s="35" t="str">
        <x:v>Único</x:v>
      </x:c>
      <x:c r="H115" s="35" t="n">
        <x:v>4</x:v>
      </x:c>
      <x:c r="I115" s="37" t="n">
        <x:v>18.9</x:v>
      </x:c>
      <x:c r="J115" s="38" t="n">
        <x:v>0.05</x:v>
      </x:c>
      <x:c r="K115" s="35" t="str">
        <x:v>Dinheiro</x:v>
      </x:c>
      <x:c r="L115" s="35" t="str">
        <x:v>Novo</x:v>
      </x:c>
      <x:c r="M115" s="35" t="str">
        <x:v>Concluído</x:v>
      </x:c>
      <x:c r="N115" s="35" t="n">
        <x:v>13</x:v>
      </x:c>
      <x:c r="O115" s="35" t="n">
        <x:v>5</x:v>
      </x:c>
      <x:c r="P115" s="37" t="n">
        <x:f>ROUND(H115*I115,2)</x:f>
        <x:v>75.6</x:v>
      </x:c>
      <x:c r="Q115" s="37" t="n">
        <x:f>ROUND(P115*J115,2)</x:f>
        <x:v>3.78</x:v>
      </x:c>
      <x:c r="R115" s="37" t="n">
        <x:f>ROUND(P115-Q115,2)</x:f>
        <x:v>71.82</x:v>
      </x:c>
      <x:c r="S115" s="37" t="n">
        <x:v>30.33</x:v>
      </x:c>
      <x:c r="T115" s="37" t="n">
        <x:f>ROUND(R115-S115,2)</x:f>
        <x:v>41.49</x:v>
      </x:c>
    </x:row>
    <x:row r="116">
      <x:c r="A116" s="35" t="str">
        <x:v>CAF-0115</x:v>
      </x:c>
      <x:c r="B116" s="36" t="n">
        <x:v>46217</x:v>
      </x:c>
      <x:c r="C116" s="35" t="str">
        <x:v>10:36</x:v>
      </x:c>
      <x:c r="D116" s="35" t="str">
        <x:v>Balcão</x:v>
      </x:c>
      <x:c r="E116" s="35" t="str">
        <x:v>Suco natural</x:v>
      </x:c>
      <x:c r="F116" s="35" t="str">
        <x:v>Bebidas frias</x:v>
      </x:c>
      <x:c r="G116" s="35" t="str">
        <x:v>Grande</x:v>
      </x:c>
      <x:c r="H116" s="35" t="n">
        <x:v>1</x:v>
      </x:c>
      <x:c r="I116" s="37" t="n">
        <x:v>11.9</x:v>
      </x:c>
      <x:c r="J116" s="38" t="n">
        <x:v>0</x:v>
      </x:c>
      <x:c r="K116" s="35" t="str">
        <x:v>Cartão de crédito</x:v>
      </x:c>
      <x:c r="L116" s="35" t="str">
        <x:v>Recorrente</x:v>
      </x:c>
      <x:c r="M116" s="35" t="str">
        <x:v>Cancelado</x:v>
      </x:c>
      <x:c r="N116" s="35" t="n">
        <x:v>15</x:v>
      </x:c>
      <x:c r="O116" s="35"/>
      <x:c r="P116" s="37" t="n">
        <x:f>ROUND(H116*I116,2)</x:f>
        <x:v>11.9</x:v>
      </x:c>
      <x:c r="Q116" s="37" t="n">
        <x:f>ROUND(P116*J116,2)</x:f>
        <x:v>0</x:v>
      </x:c>
      <x:c r="R116" s="37" t="n">
        <x:f>ROUND(P116-Q116,2)</x:f>
        <x:v>11.9</x:v>
      </x:c>
      <x:c r="S116" s="37" t="n">
        <x:v>5.4</x:v>
      </x:c>
      <x:c r="T116" s="37" t="n">
        <x:f>ROUND(R116-S116,2)</x:f>
        <x:v>6.5</x:v>
      </x:c>
    </x:row>
    <x:row r="117">
      <x:c r="A117" s="35" t="str">
        <x:v>CAF-0116</x:v>
      </x:c>
      <x:c r="B117" s="36" t="n">
        <x:v>46231</x:v>
      </x:c>
      <x:c r="C117" s="35" t="str">
        <x:v>16:37</x:v>
      </x:c>
      <x:c r="D117" s="35" t="str">
        <x:v>Delivery</x:v>
      </x:c>
      <x:c r="E117" s="35" t="str">
        <x:v>Cookie</x:v>
      </x:c>
      <x:c r="F117" s="35" t="str">
        <x:v>Comidas</x:v>
      </x:c>
      <x:c r="G117" s="35" t="str">
        <x:v>Único</x:v>
      </x:c>
      <x:c r="H117" s="35" t="n">
        <x:v>2</x:v>
      </x:c>
      <x:c r="I117" s="37" t="n">
        <x:v>7.5</x:v>
      </x:c>
      <x:c r="J117" s="38" t="n">
        <x:v>0</x:v>
      </x:c>
      <x:c r="K117" s="35" t="str">
        <x:v>Cartão de crédito</x:v>
      </x:c>
      <x:c r="L117" s="35" t="str">
        <x:v>Recorrente</x:v>
      </x:c>
      <x:c r="M117" s="35" t="str">
        <x:v>Concluído</x:v>
      </x:c>
      <x:c r="N117" s="35" t="n">
        <x:v>11</x:v>
      </x:c>
      <x:c r="O117" s="35" t="n">
        <x:v>5</x:v>
      </x:c>
      <x:c r="P117" s="37" t="n">
        <x:f>ROUND(H117*I117,2)</x:f>
        <x:v>15</x:v>
      </x:c>
      <x:c r="Q117" s="37" t="n">
        <x:f>ROUND(P117*J117,2)</x:f>
        <x:v>0</x:v>
      </x:c>
      <x:c r="R117" s="37" t="n">
        <x:f>ROUND(P117-Q117,2)</x:f>
        <x:v>15</x:v>
      </x:c>
      <x:c r="S117" s="37" t="n">
        <x:v>6.52</x:v>
      </x:c>
      <x:c r="T117" s="37" t="n">
        <x:f>ROUND(R117-S117,2)</x:f>
        <x:v>8.48</x:v>
      </x:c>
    </x:row>
    <x:row r="118">
      <x:c r="A118" s="35" t="str">
        <x:v>CAF-0117</x:v>
      </x:c>
      <x:c r="B118" s="36" t="n">
        <x:v>46207</x:v>
      </x:c>
      <x:c r="C118" s="35" t="str">
        <x:v>15:41</x:v>
      </x:c>
      <x:c r="D118" s="35" t="str">
        <x:v>Aplicativo</x:v>
      </x:c>
      <x:c r="E118" s="35" t="str">
        <x:v>Bolo de chocolate</x:v>
      </x:c>
      <x:c r="F118" s="35" t="str">
        <x:v>Comidas</x:v>
      </x:c>
      <x:c r="G118" s="35" t="str">
        <x:v>Fatia</x:v>
      </x:c>
      <x:c r="H118" s="35" t="n">
        <x:v>4</x:v>
      </x:c>
      <x:c r="I118" s="37" t="n">
        <x:v>10.9</x:v>
      </x:c>
      <x:c r="J118" s="38" t="n">
        <x:v>0</x:v>
      </x:c>
      <x:c r="K118" s="35" t="str">
        <x:v>Cartão de débito</x:v>
      </x:c>
      <x:c r="L118" s="35" t="str">
        <x:v>Programa de fidelidade</x:v>
      </x:c>
      <x:c r="M118" s="35" t="str">
        <x:v>Cancelado</x:v>
      </x:c>
      <x:c r="N118" s="35" t="n">
        <x:v>10</x:v>
      </x:c>
      <x:c r="O118" s="35"/>
      <x:c r="P118" s="37" t="n">
        <x:f>ROUND(H118*I118,2)</x:f>
        <x:v>43.6</x:v>
      </x:c>
      <x:c r="Q118" s="37" t="n">
        <x:f>ROUND(P118*J118,2)</x:f>
        <x:v>0</x:v>
      </x:c>
      <x:c r="R118" s="37" t="n">
        <x:f>ROUND(P118-Q118,2)</x:f>
        <x:v>43.6</x:v>
      </x:c>
      <x:c r="S118" s="37" t="n">
        <x:v>18.43</x:v>
      </x:c>
      <x:c r="T118" s="37" t="n">
        <x:f>ROUND(R118-S118,2)</x:f>
        <x:v>25.17</x:v>
      </x:c>
    </x:row>
    <x:row r="119">
      <x:c r="A119" s="35" t="str">
        <x:v>CAF-0118</x:v>
      </x:c>
      <x:c r="B119" s="36" t="n">
        <x:v>46234</x:v>
      </x:c>
      <x:c r="C119" s="35" t="str">
        <x:v>13:34</x:v>
      </x:c>
      <x:c r="D119" s="35" t="str">
        <x:v>Totem</x:v>
      </x:c>
      <x:c r="E119" s="35" t="str">
        <x:v>Chá gelado</x:v>
      </x:c>
      <x:c r="F119" s="35" t="str">
        <x:v>Bebidas frias</x:v>
      </x:c>
      <x:c r="G119" s="35" t="str">
        <x:v>Médio</x:v>
      </x:c>
      <x:c r="H119" s="35" t="n">
        <x:v>4</x:v>
      </x:c>
      <x:c r="I119" s="37" t="n">
        <x:v>9.9</x:v>
      </x:c>
      <x:c r="J119" s="38" t="n">
        <x:v>0</x:v>
      </x:c>
      <x:c r="K119" s="35" t="str">
        <x:v>Dinheiro</x:v>
      </x:c>
      <x:c r="L119" s="35" t="str">
        <x:v>Novo</x:v>
      </x:c>
      <x:c r="M119" s="35" t="str">
        <x:v>Concluído</x:v>
      </x:c>
      <x:c r="N119" s="35" t="n">
        <x:v>4</x:v>
      </x:c>
      <x:c r="O119" s="35" t="n">
        <x:v>5</x:v>
      </x:c>
      <x:c r="P119" s="37" t="n">
        <x:f>ROUND(H119*I119,2)</x:f>
        <x:v>39.6</x:v>
      </x:c>
      <x:c r="Q119" s="37" t="n">
        <x:f>ROUND(P119*J119,2)</x:f>
        <x:v>0</x:v>
      </x:c>
      <x:c r="R119" s="37" t="n">
        <x:f>ROUND(P119-Q119,2)</x:f>
        <x:v>39.6</x:v>
      </x:c>
      <x:c r="S119" s="37" t="n">
        <x:v>17.5</x:v>
      </x:c>
      <x:c r="T119" s="37" t="n">
        <x:f>ROUND(R119-S119,2)</x:f>
        <x:v>22.1</x:v>
      </x:c>
    </x:row>
    <x:row r="120">
      <x:c r="A120" s="35" t="str">
        <x:v>CAF-0119</x:v>
      </x:c>
      <x:c r="B120" s="36" t="n">
        <x:v>46228</x:v>
      </x:c>
      <x:c r="C120" s="35" t="str">
        <x:v>16:37</x:v>
      </x:c>
      <x:c r="D120" s="35" t="str">
        <x:v>Balcão</x:v>
      </x:c>
      <x:c r="E120" s="35" t="str">
        <x:v>Expresso</x:v>
      </x:c>
      <x:c r="F120" s="35" t="str">
        <x:v>Cafés</x:v>
      </x:c>
      <x:c r="G120" s="35" t="str">
        <x:v>Único</x:v>
      </x:c>
      <x:c r="H120" s="35" t="n">
        <x:v>1</x:v>
      </x:c>
      <x:c r="I120" s="37" t="n">
        <x:v>6.5</x:v>
      </x:c>
      <x:c r="J120" s="38" t="n">
        <x:v>0</x:v>
      </x:c>
      <x:c r="K120" s="35" t="str">
        <x:v>Cartão de crédito</x:v>
      </x:c>
      <x:c r="L120" s="35" t="str">
        <x:v>Recorrente</x:v>
      </x:c>
      <x:c r="M120" s="35" t="str">
        <x:v>Concluído</x:v>
      </x:c>
      <x:c r="N120" s="35" t="n">
        <x:v>10</x:v>
      </x:c>
      <x:c r="O120" s="35" t="n">
        <x:v>5</x:v>
      </x:c>
      <x:c r="P120" s="37" t="n">
        <x:f>ROUND(H120*I120,2)</x:f>
        <x:v>6.5</x:v>
      </x:c>
      <x:c r="Q120" s="37" t="n">
        <x:f>ROUND(P120*J120,2)</x:f>
        <x:v>0</x:v>
      </x:c>
      <x:c r="R120" s="37" t="n">
        <x:f>ROUND(P120-Q120,2)</x:f>
        <x:v>6.5</x:v>
      </x:c>
      <x:c r="S120" s="37" t="n">
        <x:v>2.99</x:v>
      </x:c>
      <x:c r="T120" s="37" t="n">
        <x:f>ROUND(R120-S120,2)</x:f>
        <x:v>3.51</x:v>
      </x:c>
    </x:row>
    <x:row r="121">
      <x:c r="A121" s="35" t="str">
        <x:v>CAF-0120</x:v>
      </x:c>
      <x:c r="B121" s="36" t="n">
        <x:v>46232</x:v>
      </x:c>
      <x:c r="C121" s="35" t="str">
        <x:v>17:18</x:v>
      </x:c>
      <x:c r="D121" s="35" t="str">
        <x:v>Aplicativo</x:v>
      </x:c>
      <x:c r="E121" s="35" t="str">
        <x:v>Cappuccino</x:v>
      </x:c>
      <x:c r="F121" s="35" t="str">
        <x:v>Cafés</x:v>
      </x:c>
      <x:c r="G121" s="35" t="str">
        <x:v>Médio</x:v>
      </x:c>
      <x:c r="H121" s="35" t="n">
        <x:v>3</x:v>
      </x:c>
      <x:c r="I121" s="37" t="n">
        <x:v>12.9</x:v>
      </x:c>
      <x:c r="J121" s="38" t="n">
        <x:v>0</x:v>
      </x:c>
      <x:c r="K121" s="35" t="str">
        <x:v>Pix</x:v>
      </x:c>
      <x:c r="L121" s="35" t="str">
        <x:v>Novo</x:v>
      </x:c>
      <x:c r="M121" s="35" t="str">
        <x:v>Concluído</x:v>
      </x:c>
      <x:c r="N121" s="35" t="n">
        <x:v>17</x:v>
      </x:c>
      <x:c r="O121" s="35" t="n">
        <x:v>3</x:v>
      </x:c>
      <x:c r="P121" s="37" t="n">
        <x:f>ROUND(H121*I121,2)</x:f>
        <x:v>38.7</x:v>
      </x:c>
      <x:c r="Q121" s="37" t="n">
        <x:f>ROUND(P121*J121,2)</x:f>
        <x:v>0</x:v>
      </x:c>
      <x:c r="R121" s="37" t="n">
        <x:f>ROUND(P121-Q121,2)</x:f>
        <x:v>38.7</x:v>
      </x:c>
      <x:c r="S121" s="37" t="n">
        <x:v>14.39</x:v>
      </x:c>
      <x:c r="T121" s="37" t="n">
        <x:f>ROUND(R121-S121,2)</x:f>
        <x:v>24.31</x:v>
      </x:c>
    </x:row>
    <x:row r="122">
      <x:c r="A122" s="35" t="str">
        <x:v>CAF-0121</x:v>
      </x:c>
      <x:c r="B122" s="36" t="n">
        <x:v>46215</x:v>
      </x:c>
      <x:c r="C122" s="35" t="str">
        <x:v>18:10</x:v>
      </x:c>
      <x:c r="D122" s="35" t="str">
        <x:v>Aplicativo</x:v>
      </x:c>
      <x:c r="E122" s="35" t="str">
        <x:v>Bolo de chocolate</x:v>
      </x:c>
      <x:c r="F122" s="35" t="str">
        <x:v>Comidas</x:v>
      </x:c>
      <x:c r="G122" s="35" t="str">
        <x:v>Fatia</x:v>
      </x:c>
      <x:c r="H122" s="35" t="n">
        <x:v>3</x:v>
      </x:c>
      <x:c r="I122" s="37" t="n">
        <x:v>10.9</x:v>
      </x:c>
      <x:c r="J122" s="38" t="n">
        <x:v>0</x:v>
      </x:c>
      <x:c r="K122" s="35" t="str">
        <x:v>Cartão de crédito</x:v>
      </x:c>
      <x:c r="L122" s="35" t="str">
        <x:v>Programa de fidelidade</x:v>
      </x:c>
      <x:c r="M122" s="35" t="str">
        <x:v>Cancelado</x:v>
      </x:c>
      <x:c r="N122" s="35" t="n">
        <x:v>16</x:v>
      </x:c>
      <x:c r="O122" s="35"/>
      <x:c r="P122" s="37" t="n">
        <x:f>ROUND(H122*I122,2)</x:f>
        <x:v>32.7</x:v>
      </x:c>
      <x:c r="Q122" s="37" t="n">
        <x:f>ROUND(P122*J122,2)</x:f>
        <x:v>0</x:v>
      </x:c>
      <x:c r="R122" s="37" t="n">
        <x:f>ROUND(P122-Q122,2)</x:f>
        <x:v>32.7</x:v>
      </x:c>
      <x:c r="S122" s="37" t="n">
        <x:v>13.99</x:v>
      </x:c>
      <x:c r="T122" s="37" t="n">
        <x:f>ROUND(R122-S122,2)</x:f>
        <x:v>18.71</x:v>
      </x:c>
    </x:row>
    <x:row r="123">
      <x:c r="A123" s="35" t="str">
        <x:v>CAF-0122</x:v>
      </x:c>
      <x:c r="B123" s="36" t="n">
        <x:v>46224</x:v>
      </x:c>
      <x:c r="C123" s="35" t="str">
        <x:v>15:44</x:v>
      </x:c>
      <x:c r="D123" s="35" t="str">
        <x:v>Aplicativo</x:v>
      </x:c>
      <x:c r="E123" s="35" t="str">
        <x:v>Sanduíche natural</x:v>
      </x:c>
      <x:c r="F123" s="35" t="str">
        <x:v>Comidas</x:v>
      </x:c>
      <x:c r="G123" s="35" t="str">
        <x:v>Único</x:v>
      </x:c>
      <x:c r="H123" s="35" t="n">
        <x:v>2</x:v>
      </x:c>
      <x:c r="I123" s="37" t="n">
        <x:v>18.9</x:v>
      </x:c>
      <x:c r="J123" s="38" t="n">
        <x:v>0.05</x:v>
      </x:c>
      <x:c r="K123" s="35" t="str">
        <x:v>Pix</x:v>
      </x:c>
      <x:c r="L123" s="35" t="str">
        <x:v>Programa de fidelidade</x:v>
      </x:c>
      <x:c r="M123" s="35" t="str">
        <x:v>Concluído</x:v>
      </x:c>
      <x:c r="N123" s="35" t="n">
        <x:v>13</x:v>
      </x:c>
      <x:c r="O123" s="35" t="n">
        <x:v>5</x:v>
      </x:c>
      <x:c r="P123" s="37" t="n">
        <x:f>ROUND(H123*I123,2)</x:f>
        <x:v>37.8</x:v>
      </x:c>
      <x:c r="Q123" s="37" t="n">
        <x:f>ROUND(P123*J123,2)</x:f>
        <x:v>1.89</x:v>
      </x:c>
      <x:c r="R123" s="37" t="n">
        <x:f>ROUND(P123-Q123,2)</x:f>
        <x:v>35.91</x:v>
      </x:c>
      <x:c r="S123" s="37" t="n">
        <x:v>15.5</x:v>
      </x:c>
      <x:c r="T123" s="37" t="n">
        <x:f>ROUND(R123-S123,2)</x:f>
        <x:v>20.41</x:v>
      </x:c>
    </x:row>
    <x:row r="124">
      <x:c r="A124" s="35" t="str">
        <x:v>CAF-0123</x:v>
      </x:c>
      <x:c r="B124" s="36" t="n">
        <x:v>46232</x:v>
      </x:c>
      <x:c r="C124" s="35" t="str">
        <x:v>10:56</x:v>
      </x:c>
      <x:c r="D124" s="35" t="str">
        <x:v>Aplicativo</x:v>
      </x:c>
      <x:c r="E124" s="35" t="str">
        <x:v>Latte</x:v>
      </x:c>
      <x:c r="F124" s="35" t="str">
        <x:v>Cafés</x:v>
      </x:c>
      <x:c r="G124" s="35" t="str">
        <x:v>Médio</x:v>
      </x:c>
      <x:c r="H124" s="35" t="n">
        <x:v>3</x:v>
      </x:c>
      <x:c r="I124" s="37" t="n">
        <x:v>13.9</x:v>
      </x:c>
      <x:c r="J124" s="38" t="n">
        <x:v>0</x:v>
      </x:c>
      <x:c r="K124" s="35" t="str">
        <x:v>Cartão de crédito</x:v>
      </x:c>
      <x:c r="L124" s="35" t="str">
        <x:v>Recorrente</x:v>
      </x:c>
      <x:c r="M124" s="35" t="str">
        <x:v>Cancelado</x:v>
      </x:c>
      <x:c r="N124" s="35" t="n">
        <x:v>9</x:v>
      </x:c>
      <x:c r="O124" s="35"/>
      <x:c r="P124" s="37" t="n">
        <x:f>ROUND(H124*I124,2)</x:f>
        <x:v>41.7</x:v>
      </x:c>
      <x:c r="Q124" s="37" t="n">
        <x:f>ROUND(P124*J124,2)</x:f>
        <x:v>0</x:v>
      </x:c>
      <x:c r="R124" s="37" t="n">
        <x:f>ROUND(P124-Q124,2)</x:f>
        <x:v>41.7</x:v>
      </x:c>
      <x:c r="S124" s="37" t="n">
        <x:v>17.18</x:v>
      </x:c>
      <x:c r="T124" s="37" t="n">
        <x:f>ROUND(R124-S124,2)</x:f>
        <x:v>24.52</x:v>
      </x:c>
    </x:row>
    <x:row r="125">
      <x:c r="A125" s="35" t="str">
        <x:v>CAF-0124</x:v>
      </x:c>
      <x:c r="B125" s="36" t="n">
        <x:v>46217</x:v>
      </x:c>
      <x:c r="C125" s="35" t="str">
        <x:v>18:05</x:v>
      </x:c>
      <x:c r="D125" s="35" t="str">
        <x:v>Delivery</x:v>
      </x:c>
      <x:c r="E125" s="35" t="str">
        <x:v>Expresso</x:v>
      </x:c>
      <x:c r="F125" s="35" t="str">
        <x:v>Cafés</x:v>
      </x:c>
      <x:c r="G125" s="35" t="str">
        <x:v>Único</x:v>
      </x:c>
      <x:c r="H125" s="35" t="n">
        <x:v>3</x:v>
      </x:c>
      <x:c r="I125" s="37" t="n">
        <x:v>6.5</x:v>
      </x:c>
      <x:c r="J125" s="38" t="n">
        <x:v>0</x:v>
      </x:c>
      <x:c r="K125" s="35" t="str">
        <x:v>Pix</x:v>
      </x:c>
      <x:c r="L125" s="35" t="str">
        <x:v>Recorrente</x:v>
      </x:c>
      <x:c r="M125" s="35" t="str">
        <x:v>Cancelado</x:v>
      </x:c>
      <x:c r="N125" s="35" t="n">
        <x:v>11</x:v>
      </x:c>
      <x:c r="O125" s="35"/>
      <x:c r="P125" s="37" t="n">
        <x:f>ROUND(H125*I125,2)</x:f>
        <x:v>19.5</x:v>
      </x:c>
      <x:c r="Q125" s="37" t="n">
        <x:f>ROUND(P125*J125,2)</x:f>
        <x:v>0</x:v>
      </x:c>
      <x:c r="R125" s="37" t="n">
        <x:f>ROUND(P125-Q125,2)</x:f>
        <x:v>19.5</x:v>
      </x:c>
      <x:c r="S125" s="37" t="n">
        <x:v>7.72</x:v>
      </x:c>
      <x:c r="T125" s="37" t="n">
        <x:f>ROUND(R125-S125,2)</x:f>
        <x:v>11.78</x:v>
      </x:c>
    </x:row>
    <x:row r="126">
      <x:c r="A126" s="35" t="str">
        <x:v>CAF-0125</x:v>
      </x:c>
      <x:c r="B126" s="36" t="n">
        <x:v>46231</x:v>
      </x:c>
      <x:c r="C126" s="35" t="str">
        <x:v>09:59</x:v>
      </x:c>
      <x:c r="D126" s="35" t="str">
        <x:v>Totem</x:v>
      </x:c>
      <x:c r="E126" s="35" t="str">
        <x:v>Expresso</x:v>
      </x:c>
      <x:c r="F126" s="35" t="str">
        <x:v>Cafés</x:v>
      </x:c>
      <x:c r="G126" s="35" t="str">
        <x:v>Único</x:v>
      </x:c>
      <x:c r="H126" s="35" t="n">
        <x:v>1</x:v>
      </x:c>
      <x:c r="I126" s="37" t="n">
        <x:v>6.5</x:v>
      </x:c>
      <x:c r="J126" s="38" t="n">
        <x:v>0</x:v>
      </x:c>
      <x:c r="K126" s="35" t="str">
        <x:v>Cartão de crédito</x:v>
      </x:c>
      <x:c r="L126" s="35" t="str">
        <x:v>Programa de fidelidade</x:v>
      </x:c>
      <x:c r="M126" s="35" t="str">
        <x:v>Concluído</x:v>
      </x:c>
      <x:c r="N126" s="35" t="n">
        <x:v>19</x:v>
      </x:c>
      <x:c r="O126" s="35" t="n">
        <x:v>4</x:v>
      </x:c>
      <x:c r="P126" s="37" t="n">
        <x:f>ROUND(H126*I126,2)</x:f>
        <x:v>6.5</x:v>
      </x:c>
      <x:c r="Q126" s="37" t="n">
        <x:f>ROUND(P126*J126,2)</x:f>
        <x:v>0</x:v>
      </x:c>
      <x:c r="R126" s="37" t="n">
        <x:f>ROUND(P126-Q126,2)</x:f>
        <x:v>6.5</x:v>
      </x:c>
      <x:c r="S126" s="37" t="n">
        <x:v>2.84</x:v>
      </x:c>
      <x:c r="T126" s="37" t="n">
        <x:f>ROUND(R126-S126,2)</x:f>
        <x:v>3.66</x:v>
      </x:c>
    </x:row>
    <x:row r="127">
      <x:c r="A127" s="35" t="str">
        <x:v>CAF-0126</x:v>
      </x:c>
      <x:c r="B127" s="36" t="n">
        <x:v>46224</x:v>
      </x:c>
      <x:c r="C127" s="35" t="str">
        <x:v>10:08</x:v>
      </x:c>
      <x:c r="D127" s="35" t="str">
        <x:v>Totem</x:v>
      </x:c>
      <x:c r="E127" s="35" t="str">
        <x:v>Brownie</x:v>
      </x:c>
      <x:c r="F127" s="35" t="str">
        <x:v>Comidas</x:v>
      </x:c>
      <x:c r="G127" s="35" t="str">
        <x:v>Fatia</x:v>
      </x:c>
      <x:c r="H127" s="35" t="n">
        <x:v>3</x:v>
      </x:c>
      <x:c r="I127" s="37" t="n">
        <x:v>9.5</x:v>
      </x:c>
      <x:c r="J127" s="38" t="n">
        <x:v>0</x:v>
      </x:c>
      <x:c r="K127" s="35" t="str">
        <x:v>Cartão de crédito</x:v>
      </x:c>
      <x:c r="L127" s="35" t="str">
        <x:v>Programa de fidelidade</x:v>
      </x:c>
      <x:c r="M127" s="35" t="str">
        <x:v>Concluído</x:v>
      </x:c>
      <x:c r="N127" s="35" t="n">
        <x:v>3</x:v>
      </x:c>
      <x:c r="O127" s="35" t="n">
        <x:v>4</x:v>
      </x:c>
      <x:c r="P127" s="37" t="n">
        <x:f>ROUND(H127*I127,2)</x:f>
        <x:v>28.5</x:v>
      </x:c>
      <x:c r="Q127" s="37" t="n">
        <x:f>ROUND(P127*J127,2)</x:f>
        <x:v>0</x:v>
      </x:c>
      <x:c r="R127" s="37" t="n">
        <x:f>ROUND(P127-Q127,2)</x:f>
        <x:v>28.5</x:v>
      </x:c>
      <x:c r="S127" s="37" t="n">
        <x:v>11.15</x:v>
      </x:c>
      <x:c r="T127" s="37" t="n">
        <x:f>ROUND(R127-S127,2)</x:f>
        <x:v>17.35</x:v>
      </x:c>
    </x:row>
    <x:row r="128">
      <x:c r="A128" s="35" t="str">
        <x:v>CAF-0127</x:v>
      </x:c>
      <x:c r="B128" s="36" t="n">
        <x:v>46224</x:v>
      </x:c>
      <x:c r="C128" s="35" t="str">
        <x:v>07:16</x:v>
      </x:c>
      <x:c r="D128" s="35" t="str">
        <x:v>Totem</x:v>
      </x:c>
      <x:c r="E128" s="35" t="str">
        <x:v>Brownie</x:v>
      </x:c>
      <x:c r="F128" s="35" t="str">
        <x:v>Comidas</x:v>
      </x:c>
      <x:c r="G128" s="35" t="str">
        <x:v>Fatia</x:v>
      </x:c>
      <x:c r="H128" s="35" t="n">
        <x:v>2</x:v>
      </x:c>
      <x:c r="I128" s="37" t="n">
        <x:v>9.5</x:v>
      </x:c>
      <x:c r="J128" s="38" t="n">
        <x:v>0</x:v>
      </x:c>
      <x:c r="K128" s="35" t="str">
        <x:v>Pix</x:v>
      </x:c>
      <x:c r="L128" s="35" t="str">
        <x:v>Programa de fidelidade</x:v>
      </x:c>
      <x:c r="M128" s="35" t="str">
        <x:v>Concluído</x:v>
      </x:c>
      <x:c r="N128" s="35" t="n">
        <x:v>9</x:v>
      </x:c>
      <x:c r="O128" s="35" t="n">
        <x:v>5</x:v>
      </x:c>
      <x:c r="P128" s="37" t="n">
        <x:f>ROUND(H128*I128,2)</x:f>
        <x:v>19</x:v>
      </x:c>
      <x:c r="Q128" s="37" t="n">
        <x:f>ROUND(P128*J128,2)</x:f>
        <x:v>0</x:v>
      </x:c>
      <x:c r="R128" s="37" t="n">
        <x:f>ROUND(P128-Q128,2)</x:f>
        <x:v>19</x:v>
      </x:c>
      <x:c r="S128" s="37" t="n">
        <x:v>8.37</x:v>
      </x:c>
      <x:c r="T128" s="37" t="n">
        <x:f>ROUND(R128-S128,2)</x:f>
        <x:v>10.63</x:v>
      </x:c>
    </x:row>
    <x:row r="129">
      <x:c r="A129" s="35" t="str">
        <x:v>CAF-0128</x:v>
      </x:c>
      <x:c r="B129" s="36" t="n">
        <x:v>46219</x:v>
      </x:c>
      <x:c r="C129" s="35" t="str">
        <x:v>08:04</x:v>
      </x:c>
      <x:c r="D129" s="35" t="str">
        <x:v>Totem</x:v>
      </x:c>
      <x:c r="E129" s="35" t="str">
        <x:v>Sanduíche natural</x:v>
      </x:c>
      <x:c r="F129" s="35" t="str">
        <x:v>Comidas</x:v>
      </x:c>
      <x:c r="G129" s="35" t="str">
        <x:v>Único</x:v>
      </x:c>
      <x:c r="H129" s="35" t="n">
        <x:v>3</x:v>
      </x:c>
      <x:c r="I129" s="37" t="n">
        <x:v>18.9</x:v>
      </x:c>
      <x:c r="J129" s="38" t="n">
        <x:v>0</x:v>
      </x:c>
      <x:c r="K129" s="35" t="str">
        <x:v>Cartão de débito</x:v>
      </x:c>
      <x:c r="L129" s="35" t="str">
        <x:v>Programa de fidelidade</x:v>
      </x:c>
      <x:c r="M129" s="35" t="str">
        <x:v>Concluído</x:v>
      </x:c>
      <x:c r="N129" s="35" t="n">
        <x:v>13</x:v>
      </x:c>
      <x:c r="O129" s="35" t="n">
        <x:v>5</x:v>
      </x:c>
      <x:c r="P129" s="37" t="n">
        <x:f>ROUND(H129*I129,2)</x:f>
        <x:v>56.7</x:v>
      </x:c>
      <x:c r="Q129" s="37" t="n">
        <x:f>ROUND(P129*J129,2)</x:f>
        <x:v>0</x:v>
      </x:c>
      <x:c r="R129" s="37" t="n">
        <x:f>ROUND(P129-Q129,2)</x:f>
        <x:v>56.7</x:v>
      </x:c>
      <x:c r="S129" s="37" t="n">
        <x:v>21.89</x:v>
      </x:c>
      <x:c r="T129" s="37" t="n">
        <x:f>ROUND(R129-S129,2)</x:f>
        <x:v>34.81</x:v>
      </x:c>
    </x:row>
    <x:row r="130">
      <x:c r="A130" s="35" t="str">
        <x:v>CAF-0129</x:v>
      </x:c>
      <x:c r="B130" s="36" t="n">
        <x:v>46229</x:v>
      </x:c>
      <x:c r="C130" s="35" t="str">
        <x:v>17:57</x:v>
      </x:c>
      <x:c r="D130" s="35" t="str">
        <x:v>Totem</x:v>
      </x:c>
      <x:c r="E130" s="35" t="str">
        <x:v>Mocha</x:v>
      </x:c>
      <x:c r="F130" s="35" t="str">
        <x:v>Cafés</x:v>
      </x:c>
      <x:c r="G130" s="35" t="str">
        <x:v>Médio</x:v>
      </x:c>
      <x:c r="H130" s="35" t="n">
        <x:v>2</x:v>
      </x:c>
      <x:c r="I130" s="37" t="n">
        <x:v>15.5</x:v>
      </x:c>
      <x:c r="J130" s="38" t="n">
        <x:v>0</x:v>
      </x:c>
      <x:c r="K130" s="35" t="str">
        <x:v>Cartão de débito</x:v>
      </x:c>
      <x:c r="L130" s="35" t="str">
        <x:v>Programa de fidelidade</x:v>
      </x:c>
      <x:c r="M130" s="35" t="str">
        <x:v>Concluído</x:v>
      </x:c>
      <x:c r="N130" s="35" t="n">
        <x:v>17</x:v>
      </x:c>
      <x:c r="O130" s="35" t="n">
        <x:v>3</x:v>
      </x:c>
      <x:c r="P130" s="37" t="n">
        <x:f>ROUND(H130*I130,2)</x:f>
        <x:v>31</x:v>
      </x:c>
      <x:c r="Q130" s="37" t="n">
        <x:f>ROUND(P130*J130,2)</x:f>
        <x:v>0</x:v>
      </x:c>
      <x:c r="R130" s="37" t="n">
        <x:f>ROUND(P130-Q130,2)</x:f>
        <x:v>31</x:v>
      </x:c>
      <x:c r="S130" s="37" t="n">
        <x:v>11.12</x:v>
      </x:c>
      <x:c r="T130" s="37" t="n">
        <x:f>ROUND(R130-S130,2)</x:f>
        <x:v>19.88</x:v>
      </x:c>
    </x:row>
    <x:row r="131">
      <x:c r="A131" s="35" t="str">
        <x:v>CAF-0130</x:v>
      </x:c>
      <x:c r="B131" s="36" t="n">
        <x:v>46216</x:v>
      </x:c>
      <x:c r="C131" s="35" t="str">
        <x:v>17:39</x:v>
      </x:c>
      <x:c r="D131" s="35" t="str">
        <x:v>Balcão</x:v>
      </x:c>
      <x:c r="E131" s="35" t="str">
        <x:v>Expresso</x:v>
      </x:c>
      <x:c r="F131" s="35" t="str">
        <x:v>Cafés</x:v>
      </x:c>
      <x:c r="G131" s="35" t="str">
        <x:v>Único</x:v>
      </x:c>
      <x:c r="H131" s="35" t="n">
        <x:v>1</x:v>
      </x:c>
      <x:c r="I131" s="37" t="n">
        <x:v>6.5</x:v>
      </x:c>
      <x:c r="J131" s="38" t="n">
        <x:v>0.1</x:v>
      </x:c>
      <x:c r="K131" s="35" t="str">
        <x:v>Cartão de crédito</x:v>
      </x:c>
      <x:c r="L131" s="35" t="str">
        <x:v>Recorrente</x:v>
      </x:c>
      <x:c r="M131" s="35" t="str">
        <x:v>Concluído</x:v>
      </x:c>
      <x:c r="N131" s="35" t="n">
        <x:v>5</x:v>
      </x:c>
      <x:c r="O131" s="35" t="n">
        <x:v>5</x:v>
      </x:c>
      <x:c r="P131" s="37" t="n">
        <x:f>ROUND(H131*I131,2)</x:f>
        <x:v>6.5</x:v>
      </x:c>
      <x:c r="Q131" s="37" t="n">
        <x:f>ROUND(P131*J131,2)</x:f>
        <x:v>0.65</x:v>
      </x:c>
      <x:c r="R131" s="37" t="n">
        <x:f>ROUND(P131-Q131,2)</x:f>
        <x:v>5.85</x:v>
      </x:c>
      <x:c r="S131" s="37" t="n">
        <x:v>2.54</x:v>
      </x:c>
      <x:c r="T131" s="37" t="n">
        <x:f>ROUND(R131-S131,2)</x:f>
        <x:v>3.31</x:v>
      </x:c>
    </x:row>
    <x:row r="132">
      <x:c r="A132" s="35" t="str">
        <x:v>CAF-0131</x:v>
      </x:c>
      <x:c r="B132" s="36" t="n">
        <x:v>46227</x:v>
      </x:c>
      <x:c r="C132" s="35" t="str">
        <x:v>11:28</x:v>
      </x:c>
      <x:c r="D132" s="35" t="str">
        <x:v>Delivery</x:v>
      </x:c>
      <x:c r="E132" s="35" t="str">
        <x:v>Cappuccino</x:v>
      </x:c>
      <x:c r="F132" s="35" t="str">
        <x:v>Cafés</x:v>
      </x:c>
      <x:c r="G132" s="35" t="str">
        <x:v>Médio</x:v>
      </x:c>
      <x:c r="H132" s="35" t="n">
        <x:v>2</x:v>
      </x:c>
      <x:c r="I132" s="37" t="n">
        <x:v>12.9</x:v>
      </x:c>
      <x:c r="J132" s="38" t="n">
        <x:v>0.05</x:v>
      </x:c>
      <x:c r="K132" s="35" t="str">
        <x:v>Cartão de crédito</x:v>
      </x:c>
      <x:c r="L132" s="35" t="str">
        <x:v>Novo</x:v>
      </x:c>
      <x:c r="M132" s="35" t="str">
        <x:v>Concluído</x:v>
      </x:c>
      <x:c r="N132" s="35" t="n">
        <x:v>20</x:v>
      </x:c>
      <x:c r="O132" s="35" t="n">
        <x:v>3</x:v>
      </x:c>
      <x:c r="P132" s="37" t="n">
        <x:f>ROUND(H132*I132,2)</x:f>
        <x:v>25.8</x:v>
      </x:c>
      <x:c r="Q132" s="37" t="n">
        <x:f>ROUND(P132*J132,2)</x:f>
        <x:v>1.29</x:v>
      </x:c>
      <x:c r="R132" s="37" t="n">
        <x:f>ROUND(P132-Q132,2)</x:f>
        <x:v>24.51</x:v>
      </x:c>
      <x:c r="S132" s="37" t="n">
        <x:v>10.29</x:v>
      </x:c>
      <x:c r="T132" s="37" t="n">
        <x:f>ROUND(R132-S132,2)</x:f>
        <x:v>14.22</x:v>
      </x:c>
    </x:row>
    <x:row r="133">
      <x:c r="A133" s="35" t="str">
        <x:v>CAF-0132</x:v>
      </x:c>
      <x:c r="B133" s="36" t="n">
        <x:v>46229</x:v>
      </x:c>
      <x:c r="C133" s="35" t="str">
        <x:v>18:20</x:v>
      </x:c>
      <x:c r="D133" s="35" t="str">
        <x:v>Balcão</x:v>
      </x:c>
      <x:c r="E133" s="35" t="str">
        <x:v>Chá gelado</x:v>
      </x:c>
      <x:c r="F133" s="35" t="str">
        <x:v>Bebidas frias</x:v>
      </x:c>
      <x:c r="G133" s="35" t="str">
        <x:v>Médio</x:v>
      </x:c>
      <x:c r="H133" s="35" t="n">
        <x:v>1</x:v>
      </x:c>
      <x:c r="I133" s="37" t="n">
        <x:v>9.9</x:v>
      </x:c>
      <x:c r="J133" s="38" t="n">
        <x:v>0.1</x:v>
      </x:c>
      <x:c r="K133" s="35" t="str">
        <x:v>Pix</x:v>
      </x:c>
      <x:c r="L133" s="35" t="str">
        <x:v>Novo</x:v>
      </x:c>
      <x:c r="M133" s="35" t="str">
        <x:v>Cancelado</x:v>
      </x:c>
      <x:c r="N133" s="35" t="n">
        <x:v>11</x:v>
      </x:c>
      <x:c r="O133" s="35"/>
      <x:c r="P133" s="37" t="n">
        <x:f>ROUND(H133*I133,2)</x:f>
        <x:v>9.9</x:v>
      </x:c>
      <x:c r="Q133" s="37" t="n">
        <x:f>ROUND(P133*J133,2)</x:f>
        <x:v>0.99</x:v>
      </x:c>
      <x:c r="R133" s="37" t="n">
        <x:f>ROUND(P133-Q133,2)</x:f>
        <x:v>8.91</x:v>
      </x:c>
      <x:c r="S133" s="37" t="n">
        <x:v>4.29</x:v>
      </x:c>
      <x:c r="T133" s="37" t="n">
        <x:f>ROUND(R133-S133,2)</x:f>
        <x:v>4.62</x:v>
      </x:c>
    </x:row>
    <x:row r="134">
      <x:c r="A134" s="35" t="str">
        <x:v>CAF-0133</x:v>
      </x:c>
      <x:c r="B134" s="36" t="n">
        <x:v>46220</x:v>
      </x:c>
      <x:c r="C134" s="35" t="str">
        <x:v>18:17</x:v>
      </x:c>
      <x:c r="D134" s="35" t="str">
        <x:v>Balcão</x:v>
      </x:c>
      <x:c r="E134" s="35" t="str">
        <x:v>Suco natural</x:v>
      </x:c>
      <x:c r="F134" s="35" t="str">
        <x:v>Bebidas frias</x:v>
      </x:c>
      <x:c r="G134" s="35" t="str">
        <x:v>Grande</x:v>
      </x:c>
      <x:c r="H134" s="35" t="n">
        <x:v>4</x:v>
      </x:c>
      <x:c r="I134" s="37" t="n">
        <x:v>11.9</x:v>
      </x:c>
      <x:c r="J134" s="38" t="n">
        <x:v>0</x:v>
      </x:c>
      <x:c r="K134" s="35" t="str">
        <x:v>Dinheiro</x:v>
      </x:c>
      <x:c r="L134" s="35" t="str">
        <x:v>Novo</x:v>
      </x:c>
      <x:c r="M134" s="35" t="str">
        <x:v>Concluído</x:v>
      </x:c>
      <x:c r="N134" s="35" t="n">
        <x:v>11</x:v>
      </x:c>
      <x:c r="O134" s="35" t="n">
        <x:v>3</x:v>
      </x:c>
      <x:c r="P134" s="37" t="n">
        <x:f>ROUND(H134*I134,2)</x:f>
        <x:v>47.6</x:v>
      </x:c>
      <x:c r="Q134" s="37" t="n">
        <x:f>ROUND(P134*J134,2)</x:f>
        <x:v>0</x:v>
      </x:c>
      <x:c r="R134" s="37" t="n">
        <x:f>ROUND(P134-Q134,2)</x:f>
        <x:v>47.6</x:v>
      </x:c>
      <x:c r="S134" s="37" t="n">
        <x:v>16.84</x:v>
      </x:c>
      <x:c r="T134" s="37" t="n">
        <x:f>ROUND(R134-S134,2)</x:f>
        <x:v>30.76</x:v>
      </x:c>
    </x:row>
    <x:row r="135">
      <x:c r="A135" s="35" t="str">
        <x:v>CAF-0134</x:v>
      </x:c>
      <x:c r="B135" s="36" t="n">
        <x:v>46214</x:v>
      </x:c>
      <x:c r="C135" s="35" t="str">
        <x:v>07:53</x:v>
      </x:c>
      <x:c r="D135" s="35" t="str">
        <x:v>Balcão</x:v>
      </x:c>
      <x:c r="E135" s="35" t="str">
        <x:v>Croissant</x:v>
      </x:c>
      <x:c r="F135" s="35" t="str">
        <x:v>Comidas</x:v>
      </x:c>
      <x:c r="G135" s="35" t="str">
        <x:v>Único</x:v>
      </x:c>
      <x:c r="H135" s="35" t="n">
        <x:v>2</x:v>
      </x:c>
      <x:c r="I135" s="37" t="n">
        <x:v>12.5</x:v>
      </x:c>
      <x:c r="J135" s="38" t="n">
        <x:v>0</x:v>
      </x:c>
      <x:c r="K135" s="35" t="str">
        <x:v>Cartão de crédito</x:v>
      </x:c>
      <x:c r="L135" s="35" t="str">
        <x:v>Novo</x:v>
      </x:c>
      <x:c r="M135" s="35" t="str">
        <x:v>Concluído</x:v>
      </x:c>
      <x:c r="N135" s="35" t="n">
        <x:v>12</x:v>
      </x:c>
      <x:c r="O135" s="35" t="n">
        <x:v>3</x:v>
      </x:c>
      <x:c r="P135" s="37" t="n">
        <x:f>ROUND(H135*I135,2)</x:f>
        <x:v>25</x:v>
      </x:c>
      <x:c r="Q135" s="37" t="n">
        <x:f>ROUND(P135*J135,2)</x:f>
        <x:v>0</x:v>
      </x:c>
      <x:c r="R135" s="37" t="n">
        <x:f>ROUND(P135-Q135,2)</x:f>
        <x:v>25</x:v>
      </x:c>
      <x:c r="S135" s="37" t="n">
        <x:v>11.2</x:v>
      </x:c>
      <x:c r="T135" s="37" t="n">
        <x:f>ROUND(R135-S135,2)</x:f>
        <x:v>13.8</x:v>
      </x:c>
    </x:row>
    <x:row r="136">
      <x:c r="A136" s="35" t="str">
        <x:v>CAF-0135</x:v>
      </x:c>
      <x:c r="B136" s="36" t="n">
        <x:v>46206</x:v>
      </x:c>
      <x:c r="C136" s="35" t="str">
        <x:v>17:21</x:v>
      </x:c>
      <x:c r="D136" s="35" t="str">
        <x:v>Totem</x:v>
      </x:c>
      <x:c r="E136" s="35" t="str">
        <x:v>Cappuccino</x:v>
      </x:c>
      <x:c r="F136" s="35" t="str">
        <x:v>Cafés</x:v>
      </x:c>
      <x:c r="G136" s="35" t="str">
        <x:v>Médio</x:v>
      </x:c>
      <x:c r="H136" s="35" t="n">
        <x:v>1</x:v>
      </x:c>
      <x:c r="I136" s="37" t="n">
        <x:v>12.9</x:v>
      </x:c>
      <x:c r="J136" s="38" t="n">
        <x:v>0</x:v>
      </x:c>
      <x:c r="K136" s="35" t="str">
        <x:v>Dinheiro</x:v>
      </x:c>
      <x:c r="L136" s="35" t="str">
        <x:v>Programa de fidelidade</x:v>
      </x:c>
      <x:c r="M136" s="35" t="str">
        <x:v>Concluído</x:v>
      </x:c>
      <x:c r="N136" s="35" t="n">
        <x:v>19</x:v>
      </x:c>
      <x:c r="O136" s="35" t="n">
        <x:v>4</x:v>
      </x:c>
      <x:c r="P136" s="37" t="n">
        <x:f>ROUND(H136*I136,2)</x:f>
        <x:v>12.9</x:v>
      </x:c>
      <x:c r="Q136" s="37" t="n">
        <x:f>ROUND(P136*J136,2)</x:f>
        <x:v>0</x:v>
      </x:c>
      <x:c r="R136" s="37" t="n">
        <x:f>ROUND(P136-Q136,2)</x:f>
        <x:v>12.9</x:v>
      </x:c>
      <x:c r="S136" s="37" t="n">
        <x:v>5.99</x:v>
      </x:c>
      <x:c r="T136" s="37" t="n">
        <x:f>ROUND(R136-S136,2)</x:f>
        <x:v>6.91</x:v>
      </x:c>
    </x:row>
    <x:row r="137">
      <x:c r="A137" s="35" t="str">
        <x:v>CAF-0136</x:v>
      </x:c>
      <x:c r="B137" s="36" t="n">
        <x:v>46213</x:v>
      </x:c>
      <x:c r="C137" s="35" t="str">
        <x:v>08:21</x:v>
      </x:c>
      <x:c r="D137" s="35" t="str">
        <x:v>Delivery</x:v>
      </x:c>
      <x:c r="E137" s="35" t="str">
        <x:v>Cappuccino</x:v>
      </x:c>
      <x:c r="F137" s="35" t="str">
        <x:v>Cafés</x:v>
      </x:c>
      <x:c r="G137" s="35" t="str">
        <x:v>Médio</x:v>
      </x:c>
      <x:c r="H137" s="35" t="n">
        <x:v>1</x:v>
      </x:c>
      <x:c r="I137" s="37" t="n">
        <x:v>12.9</x:v>
      </x:c>
      <x:c r="J137" s="38" t="n">
        <x:v>0.1</x:v>
      </x:c>
      <x:c r="K137" s="35" t="str">
        <x:v>Cartão de débito</x:v>
      </x:c>
      <x:c r="L137" s="35" t="str">
        <x:v>Programa de fidelidade</x:v>
      </x:c>
      <x:c r="M137" s="35" t="str">
        <x:v>Concluído</x:v>
      </x:c>
      <x:c r="N137" s="35" t="n">
        <x:v>12</x:v>
      </x:c>
      <x:c r="O137" s="35" t="n">
        <x:v>3</x:v>
      </x:c>
      <x:c r="P137" s="37" t="n">
        <x:f>ROUND(H137*I137,2)</x:f>
        <x:v>12.9</x:v>
      </x:c>
      <x:c r="Q137" s="37" t="n">
        <x:f>ROUND(P137*J137,2)</x:f>
        <x:v>1.29</x:v>
      </x:c>
      <x:c r="R137" s="37" t="n">
        <x:f>ROUND(P137-Q137,2)</x:f>
        <x:v>11.61</x:v>
      </x:c>
      <x:c r="S137" s="37" t="n">
        <x:v>6.01</x:v>
      </x:c>
      <x:c r="T137" s="37" t="n">
        <x:f>ROUND(R137-S137,2)</x:f>
        <x:v>5.6</x:v>
      </x:c>
    </x:row>
    <x:row r="138">
      <x:c r="A138" s="35" t="str">
        <x:v>CAF-0137</x:v>
      </x:c>
      <x:c r="B138" s="36" t="n">
        <x:v>46229</x:v>
      </x:c>
      <x:c r="C138" s="35" t="str">
        <x:v>12:19</x:v>
      </x:c>
      <x:c r="D138" s="35" t="str">
        <x:v>Aplicativo</x:v>
      </x:c>
      <x:c r="E138" s="35" t="str">
        <x:v>Mocha</x:v>
      </x:c>
      <x:c r="F138" s="35" t="str">
        <x:v>Cafés</x:v>
      </x:c>
      <x:c r="G138" s="35" t="str">
        <x:v>Médio</x:v>
      </x:c>
      <x:c r="H138" s="35" t="n">
        <x:v>4</x:v>
      </x:c>
      <x:c r="I138" s="37" t="n">
        <x:v>15.5</x:v>
      </x:c>
      <x:c r="J138" s="38" t="n">
        <x:v>0</x:v>
      </x:c>
      <x:c r="K138" s="35" t="str">
        <x:v>Cartão de débito</x:v>
      </x:c>
      <x:c r="L138" s="35" t="str">
        <x:v>Programa de fidelidade</x:v>
      </x:c>
      <x:c r="M138" s="35" t="str">
        <x:v>Cancelado</x:v>
      </x:c>
      <x:c r="N138" s="35" t="n">
        <x:v>9</x:v>
      </x:c>
      <x:c r="O138" s="35"/>
      <x:c r="P138" s="37" t="n">
        <x:f>ROUND(H138*I138,2)</x:f>
        <x:v>62</x:v>
      </x:c>
      <x:c r="Q138" s="37" t="n">
        <x:f>ROUND(P138*J138,2)</x:f>
        <x:v>0</x:v>
      </x:c>
      <x:c r="R138" s="37" t="n">
        <x:f>ROUND(P138-Q138,2)</x:f>
        <x:v>62</x:v>
      </x:c>
      <x:c r="S138" s="37" t="n">
        <x:v>25.22</x:v>
      </x:c>
      <x:c r="T138" s="37" t="n">
        <x:f>ROUND(R138-S138,2)</x:f>
        <x:v>36.78</x:v>
      </x:c>
    </x:row>
    <x:row r="139">
      <x:c r="A139" s="35" t="str">
        <x:v>CAF-0138</x:v>
      </x:c>
      <x:c r="B139" s="36" t="n">
        <x:v>46211</x:v>
      </x:c>
      <x:c r="C139" s="35" t="str">
        <x:v>11:30</x:v>
      </x:c>
      <x:c r="D139" s="35" t="str">
        <x:v>Delivery</x:v>
      </x:c>
      <x:c r="E139" s="35" t="str">
        <x:v>Pão de queijo</x:v>
      </x:c>
      <x:c r="F139" s="35" t="str">
        <x:v>Comidas</x:v>
      </x:c>
      <x:c r="G139" s="35" t="str">
        <x:v>Porção</x:v>
      </x:c>
      <x:c r="H139" s="35" t="n">
        <x:v>2</x:v>
      </x:c>
      <x:c r="I139" s="37" t="n">
        <x:v>8.5</x:v>
      </x:c>
      <x:c r="J139" s="38" t="n">
        <x:v>0</x:v>
      </x:c>
      <x:c r="K139" s="35" t="str">
        <x:v>Cartão de débito</x:v>
      </x:c>
      <x:c r="L139" s="35" t="str">
        <x:v>Recorrente</x:v>
      </x:c>
      <x:c r="M139" s="35" t="str">
        <x:v>Concluído</x:v>
      </x:c>
      <x:c r="N139" s="35" t="n">
        <x:v>16</x:v>
      </x:c>
      <x:c r="O139" s="35" t="n">
        <x:v>5</x:v>
      </x:c>
      <x:c r="P139" s="37" t="n">
        <x:f>ROUND(H139*I139,2)</x:f>
        <x:v>17</x:v>
      </x:c>
      <x:c r="Q139" s="37" t="n">
        <x:f>ROUND(P139*J139,2)</x:f>
        <x:v>0</x:v>
      </x:c>
      <x:c r="R139" s="37" t="n">
        <x:f>ROUND(P139-Q139,2)</x:f>
        <x:v>17</x:v>
      </x:c>
      <x:c r="S139" s="37" t="n">
        <x:v>7.17</x:v>
      </x:c>
      <x:c r="T139" s="37" t="n">
        <x:f>ROUND(R139-S139,2)</x:f>
        <x:v>9.83</x:v>
      </x:c>
    </x:row>
    <x:row r="140">
      <x:c r="A140" s="35" t="str">
        <x:v>CAF-0139</x:v>
      </x:c>
      <x:c r="B140" s="36" t="n">
        <x:v>46217</x:v>
      </x:c>
      <x:c r="C140" s="35" t="str">
        <x:v>08:20</x:v>
      </x:c>
      <x:c r="D140" s="35" t="str">
        <x:v>Balcão</x:v>
      </x:c>
      <x:c r="E140" s="35" t="str">
        <x:v>Mocha</x:v>
      </x:c>
      <x:c r="F140" s="35" t="str">
        <x:v>Cafés</x:v>
      </x:c>
      <x:c r="G140" s="35" t="str">
        <x:v>Médio</x:v>
      </x:c>
      <x:c r="H140" s="35" t="n">
        <x:v>1</x:v>
      </x:c>
      <x:c r="I140" s="37" t="n">
        <x:v>15.5</x:v>
      </x:c>
      <x:c r="J140" s="38" t="n">
        <x:v>0</x:v>
      </x:c>
      <x:c r="K140" s="35" t="str">
        <x:v>Cartão de débito</x:v>
      </x:c>
      <x:c r="L140" s="35" t="str">
        <x:v>Novo</x:v>
      </x:c>
      <x:c r="M140" s="35" t="str">
        <x:v>Concluído</x:v>
      </x:c>
      <x:c r="N140" s="35" t="n">
        <x:v>5</x:v>
      </x:c>
      <x:c r="O140" s="35" t="n">
        <x:v>4</x:v>
      </x:c>
      <x:c r="P140" s="37" t="n">
        <x:f>ROUND(H140*I140,2)</x:f>
        <x:v>15.5</x:v>
      </x:c>
      <x:c r="Q140" s="37" t="n">
        <x:f>ROUND(P140*J140,2)</x:f>
        <x:v>0</x:v>
      </x:c>
      <x:c r="R140" s="37" t="n">
        <x:f>ROUND(P140-Q140,2)</x:f>
        <x:v>15.5</x:v>
      </x:c>
      <x:c r="S140" s="37" t="n">
        <x:v>6.63</x:v>
      </x:c>
      <x:c r="T140" s="37" t="n">
        <x:f>ROUND(R140-S140,2)</x:f>
        <x:v>8.87</x:v>
      </x:c>
    </x:row>
    <x:row r="141">
      <x:c r="A141" s="35" t="str">
        <x:v>CAF-0140</x:v>
      </x:c>
      <x:c r="B141" s="36" t="n">
        <x:v>46228</x:v>
      </x:c>
      <x:c r="C141" s="35" t="str">
        <x:v>09:27</x:v>
      </x:c>
      <x:c r="D141" s="35" t="str">
        <x:v>Totem</x:v>
      </x:c>
      <x:c r="E141" s="35" t="str">
        <x:v>Chá gelado</x:v>
      </x:c>
      <x:c r="F141" s="35" t="str">
        <x:v>Bebidas frias</x:v>
      </x:c>
      <x:c r="G141" s="35" t="str">
        <x:v>Médio</x:v>
      </x:c>
      <x:c r="H141" s="35" t="n">
        <x:v>1</x:v>
      </x:c>
      <x:c r="I141" s="37" t="n">
        <x:v>9.9</x:v>
      </x:c>
      <x:c r="J141" s="38" t="n">
        <x:v>0</x:v>
      </x:c>
      <x:c r="K141" s="35" t="str">
        <x:v>Cartão de crédito</x:v>
      </x:c>
      <x:c r="L141" s="35" t="str">
        <x:v>Programa de fidelidade</x:v>
      </x:c>
      <x:c r="M141" s="35" t="str">
        <x:v>Concluído</x:v>
      </x:c>
      <x:c r="N141" s="35" t="n">
        <x:v>14</x:v>
      </x:c>
      <x:c r="O141" s="35" t="n">
        <x:v>5</x:v>
      </x:c>
      <x:c r="P141" s="37" t="n">
        <x:f>ROUND(H141*I141,2)</x:f>
        <x:v>9.9</x:v>
      </x:c>
      <x:c r="Q141" s="37" t="n">
        <x:f>ROUND(P141*J141,2)</x:f>
        <x:v>0</x:v>
      </x:c>
      <x:c r="R141" s="37" t="n">
        <x:f>ROUND(P141-Q141,2)</x:f>
        <x:v>9.9</x:v>
      </x:c>
      <x:c r="S141" s="37" t="n">
        <x:v>4.41</x:v>
      </x:c>
      <x:c r="T141" s="37" t="n">
        <x:f>ROUND(R141-S141,2)</x:f>
        <x:v>5.49</x:v>
      </x:c>
    </x:row>
    <x:row r="142">
      <x:c r="A142" s="35" t="str">
        <x:v>CAF-0141</x:v>
      </x:c>
      <x:c r="B142" s="36" t="n">
        <x:v>46224</x:v>
      </x:c>
      <x:c r="C142" s="35" t="str">
        <x:v>18:13</x:v>
      </x:c>
      <x:c r="D142" s="35" t="str">
        <x:v>Aplicativo</x:v>
      </x:c>
      <x:c r="E142" s="35" t="str">
        <x:v>Latte</x:v>
      </x:c>
      <x:c r="F142" s="35" t="str">
        <x:v>Cafés</x:v>
      </x:c>
      <x:c r="G142" s="35" t="str">
        <x:v>Médio</x:v>
      </x:c>
      <x:c r="H142" s="35" t="n">
        <x:v>2</x:v>
      </x:c>
      <x:c r="I142" s="37" t="n">
        <x:v>13.9</x:v>
      </x:c>
      <x:c r="J142" s="38" t="n">
        <x:v>0</x:v>
      </x:c>
      <x:c r="K142" s="35" t="str">
        <x:v>Cartão de débito</x:v>
      </x:c>
      <x:c r="L142" s="35" t="str">
        <x:v>Programa de fidelidade</x:v>
      </x:c>
      <x:c r="M142" s="35" t="str">
        <x:v>Cancelado</x:v>
      </x:c>
      <x:c r="N142" s="35" t="n">
        <x:v>15</x:v>
      </x:c>
      <x:c r="O142" s="35"/>
      <x:c r="P142" s="37" t="n">
        <x:f>ROUND(H142*I142,2)</x:f>
        <x:v>27.8</x:v>
      </x:c>
      <x:c r="Q142" s="37" t="n">
        <x:f>ROUND(P142*J142,2)</x:f>
        <x:v>0</x:v>
      </x:c>
      <x:c r="R142" s="37" t="n">
        <x:f>ROUND(P142-Q142,2)</x:f>
        <x:v>27.8</x:v>
      </x:c>
      <x:c r="S142" s="37" t="n">
        <x:v>11.14</x:v>
      </x:c>
      <x:c r="T142" s="37" t="n">
        <x:f>ROUND(R142-S142,2)</x:f>
        <x:v>16.66</x:v>
      </x:c>
    </x:row>
    <x:row r="143">
      <x:c r="A143" s="35" t="str">
        <x:v>CAF-0142</x:v>
      </x:c>
      <x:c r="B143" s="36" t="n">
        <x:v>46217</x:v>
      </x:c>
      <x:c r="C143" s="35" t="str">
        <x:v>10:19</x:v>
      </x:c>
      <x:c r="D143" s="35" t="str">
        <x:v>Balcão</x:v>
      </x:c>
      <x:c r="E143" s="35" t="str">
        <x:v>Expresso</x:v>
      </x:c>
      <x:c r="F143" s="35" t="str">
        <x:v>Cafés</x:v>
      </x:c>
      <x:c r="G143" s="35" t="str">
        <x:v>Único</x:v>
      </x:c>
      <x:c r="H143" s="35" t="n">
        <x:v>3</x:v>
      </x:c>
      <x:c r="I143" s="37" t="n">
        <x:v>6.5</x:v>
      </x:c>
      <x:c r="J143" s="38" t="n">
        <x:v>0</x:v>
      </x:c>
      <x:c r="K143" s="35" t="str">
        <x:v>Cartão de crédito</x:v>
      </x:c>
      <x:c r="L143" s="35" t="str">
        <x:v>Novo</x:v>
      </x:c>
      <x:c r="M143" s="35" t="str">
        <x:v>Cancelado</x:v>
      </x:c>
      <x:c r="N143" s="35" t="n">
        <x:v>5</x:v>
      </x:c>
      <x:c r="O143" s="35"/>
      <x:c r="P143" s="37" t="n">
        <x:f>ROUND(H143*I143,2)</x:f>
        <x:v>19.5</x:v>
      </x:c>
      <x:c r="Q143" s="37" t="n">
        <x:f>ROUND(P143*J143,2)</x:f>
        <x:v>0</x:v>
      </x:c>
      <x:c r="R143" s="37" t="n">
        <x:f>ROUND(P143-Q143,2)</x:f>
        <x:v>19.5</x:v>
      </x:c>
      <x:c r="S143" s="37" t="n">
        <x:v>8.93</x:v>
      </x:c>
      <x:c r="T143" s="37" t="n">
        <x:f>ROUND(R143-S143,2)</x:f>
        <x:v>10.57</x:v>
      </x:c>
    </x:row>
    <x:row r="144">
      <x:c r="A144" s="35" t="str">
        <x:v>CAF-0143</x:v>
      </x:c>
      <x:c r="B144" s="36" t="n">
        <x:v>46209</x:v>
      </x:c>
      <x:c r="C144" s="35" t="str">
        <x:v>08:09</x:v>
      </x:c>
      <x:c r="D144" s="35" t="str">
        <x:v>Balcão</x:v>
      </x:c>
      <x:c r="E144" s="35" t="str">
        <x:v>Brownie</x:v>
      </x:c>
      <x:c r="F144" s="35" t="str">
        <x:v>Comidas</x:v>
      </x:c>
      <x:c r="G144" s="35" t="str">
        <x:v>Fatia</x:v>
      </x:c>
      <x:c r="H144" s="35" t="n">
        <x:v>3</x:v>
      </x:c>
      <x:c r="I144" s="37" t="n">
        <x:v>9.5</x:v>
      </x:c>
      <x:c r="J144" s="38" t="n">
        <x:v>0</x:v>
      </x:c>
      <x:c r="K144" s="35" t="str">
        <x:v>Cartão de crédito</x:v>
      </x:c>
      <x:c r="L144" s="35" t="str">
        <x:v>Programa de fidelidade</x:v>
      </x:c>
      <x:c r="M144" s="35" t="str">
        <x:v>Concluído</x:v>
      </x:c>
      <x:c r="N144" s="35" t="n">
        <x:v>18</x:v>
      </x:c>
      <x:c r="O144" s="35" t="n">
        <x:v>5</x:v>
      </x:c>
      <x:c r="P144" s="37" t="n">
        <x:f>ROUND(H144*I144,2)</x:f>
        <x:v>28.5</x:v>
      </x:c>
      <x:c r="Q144" s="37" t="n">
        <x:f>ROUND(P144*J144,2)</x:f>
        <x:v>0</x:v>
      </x:c>
      <x:c r="R144" s="37" t="n">
        <x:f>ROUND(P144-Q144,2)</x:f>
        <x:v>28.5</x:v>
      </x:c>
      <x:c r="S144" s="37" t="n">
        <x:v>12</x:v>
      </x:c>
      <x:c r="T144" s="37" t="n">
        <x:f>ROUND(R144-S144,2)</x:f>
        <x:v>16.5</x:v>
      </x:c>
    </x:row>
    <x:row r="145">
      <x:c r="A145" s="35" t="str">
        <x:v>CAF-0144</x:v>
      </x:c>
      <x:c r="B145" s="36" t="n">
        <x:v>46210</x:v>
      </x:c>
      <x:c r="C145" s="35" t="str">
        <x:v>11:46</x:v>
      </x:c>
      <x:c r="D145" s="35" t="str">
        <x:v>Balcão</x:v>
      </x:c>
      <x:c r="E145" s="35" t="str">
        <x:v>Croissant</x:v>
      </x:c>
      <x:c r="F145" s="35" t="str">
        <x:v>Comidas</x:v>
      </x:c>
      <x:c r="G145" s="35" t="str">
        <x:v>Único</x:v>
      </x:c>
      <x:c r="H145" s="35" t="n">
        <x:v>1</x:v>
      </x:c>
      <x:c r="I145" s="37" t="n">
        <x:v>12.5</x:v>
      </x:c>
      <x:c r="J145" s="38" t="n">
        <x:v>0.05</x:v>
      </x:c>
      <x:c r="K145" s="35" t="str">
        <x:v>Pix</x:v>
      </x:c>
      <x:c r="L145" s="35" t="str">
        <x:v>Recorrente</x:v>
      </x:c>
      <x:c r="M145" s="35" t="str">
        <x:v>Cancelado</x:v>
      </x:c>
      <x:c r="N145" s="35" t="n">
        <x:v>12</x:v>
      </x:c>
      <x:c r="O145" s="35"/>
      <x:c r="P145" s="37" t="n">
        <x:f>ROUND(H145*I145,2)</x:f>
        <x:v>12.5</x:v>
      </x:c>
      <x:c r="Q145" s="37" t="n">
        <x:f>ROUND(P145*J145,2)</x:f>
        <x:v>0.63</x:v>
      </x:c>
      <x:c r="R145" s="37" t="n">
        <x:f>ROUND(P145-Q145,2)</x:f>
        <x:v>11.87</x:v>
      </x:c>
      <x:c r="S145" s="37" t="n">
        <x:v>4.65</x:v>
      </x:c>
      <x:c r="T145" s="37" t="n">
        <x:f>ROUND(R145-S145,2)</x:f>
        <x:v>7.22</x:v>
      </x:c>
    </x:row>
    <x:row r="146">
      <x:c r="A146" s="35" t="str">
        <x:v>CAF-0145</x:v>
      </x:c>
      <x:c r="B146" s="36" t="n">
        <x:v>46226</x:v>
      </x:c>
      <x:c r="C146" s="35" t="str">
        <x:v>18:19</x:v>
      </x:c>
      <x:c r="D146" s="35" t="str">
        <x:v>Totem</x:v>
      </x:c>
      <x:c r="E146" s="35" t="str">
        <x:v>Cappuccino</x:v>
      </x:c>
      <x:c r="F146" s="35" t="str">
        <x:v>Cafés</x:v>
      </x:c>
      <x:c r="G146" s="35" t="str">
        <x:v>Médio</x:v>
      </x:c>
      <x:c r="H146" s="35" t="n">
        <x:v>1</x:v>
      </x:c>
      <x:c r="I146" s="37" t="n">
        <x:v>12.9</x:v>
      </x:c>
      <x:c r="J146" s="38" t="n">
        <x:v>0.05</x:v>
      </x:c>
      <x:c r="K146" s="35" t="str">
        <x:v>Dinheiro</x:v>
      </x:c>
      <x:c r="L146" s="35" t="str">
        <x:v>Recorrente</x:v>
      </x:c>
      <x:c r="M146" s="35" t="str">
        <x:v>Concluído</x:v>
      </x:c>
      <x:c r="N146" s="35" t="n">
        <x:v>8</x:v>
      </x:c>
      <x:c r="O146" s="35" t="n">
        <x:v>3</x:v>
      </x:c>
      <x:c r="P146" s="37" t="n">
        <x:f>ROUND(H146*I146,2)</x:f>
        <x:v>12.9</x:v>
      </x:c>
      <x:c r="Q146" s="37" t="n">
        <x:f>ROUND(P146*J146,2)</x:f>
        <x:v>0.65</x:v>
      </x:c>
      <x:c r="R146" s="37" t="n">
        <x:f>ROUND(P146-Q146,2)</x:f>
        <x:v>12.25</x:v>
      </x:c>
      <x:c r="S146" s="37" t="n">
        <x:v>5.72</x:v>
      </x:c>
      <x:c r="T146" s="37" t="n">
        <x:f>ROUND(R146-S146,2)</x:f>
        <x:v>6.53</x:v>
      </x:c>
    </x:row>
    <x:row r="147">
      <x:c r="A147" s="35" t="str">
        <x:v>CAF-0146</x:v>
      </x:c>
      <x:c r="B147" s="36" t="n">
        <x:v>46228</x:v>
      </x:c>
      <x:c r="C147" s="35" t="str">
        <x:v>16:25</x:v>
      </x:c>
      <x:c r="D147" s="35" t="str">
        <x:v>Balcão</x:v>
      </x:c>
      <x:c r="E147" s="35" t="str">
        <x:v>Bolo de chocolate</x:v>
      </x:c>
      <x:c r="F147" s="35" t="str">
        <x:v>Comidas</x:v>
      </x:c>
      <x:c r="G147" s="35" t="str">
        <x:v>Fatia</x:v>
      </x:c>
      <x:c r="H147" s="35" t="n">
        <x:v>2</x:v>
      </x:c>
      <x:c r="I147" s="37" t="n">
        <x:v>10.9</x:v>
      </x:c>
      <x:c r="J147" s="38" t="n">
        <x:v>0</x:v>
      </x:c>
      <x:c r="K147" s="35" t="str">
        <x:v>Pix</x:v>
      </x:c>
      <x:c r="L147" s="35" t="str">
        <x:v>Novo</x:v>
      </x:c>
      <x:c r="M147" s="35" t="str">
        <x:v>Concluído</x:v>
      </x:c>
      <x:c r="N147" s="35" t="n">
        <x:v>15</x:v>
      </x:c>
      <x:c r="O147" s="35" t="n">
        <x:v>4</x:v>
      </x:c>
      <x:c r="P147" s="37" t="n">
        <x:f>ROUND(H147*I147,2)</x:f>
        <x:v>21.8</x:v>
      </x:c>
      <x:c r="Q147" s="37" t="n">
        <x:f>ROUND(P147*J147,2)</x:f>
        <x:v>0</x:v>
      </x:c>
      <x:c r="R147" s="37" t="n">
        <x:f>ROUND(P147-Q147,2)</x:f>
        <x:v>21.8</x:v>
      </x:c>
      <x:c r="S147" s="37" t="n">
        <x:v>9.66</x:v>
      </x:c>
      <x:c r="T147" s="37" t="n">
        <x:f>ROUND(R147-S147,2)</x:f>
        <x:v>12.14</x:v>
      </x:c>
    </x:row>
    <x:row r="148">
      <x:c r="A148" s="35" t="str">
        <x:v>CAF-0147</x:v>
      </x:c>
      <x:c r="B148" s="36" t="n">
        <x:v>46220</x:v>
      </x:c>
      <x:c r="C148" s="35" t="str">
        <x:v>18:03</x:v>
      </x:c>
      <x:c r="D148" s="35" t="str">
        <x:v>Delivery</x:v>
      </x:c>
      <x:c r="E148" s="35" t="str">
        <x:v>Cappuccino</x:v>
      </x:c>
      <x:c r="F148" s="35" t="str">
        <x:v>Cafés</x:v>
      </x:c>
      <x:c r="G148" s="35" t="str">
        <x:v>Médio</x:v>
      </x:c>
      <x:c r="H148" s="35" t="n">
        <x:v>4</x:v>
      </x:c>
      <x:c r="I148" s="37" t="n">
        <x:v>12.9</x:v>
      </x:c>
      <x:c r="J148" s="38" t="n">
        <x:v>0</x:v>
      </x:c>
      <x:c r="K148" s="35" t="str">
        <x:v>Dinheiro</x:v>
      </x:c>
      <x:c r="L148" s="35" t="str">
        <x:v>Programa de fidelidade</x:v>
      </x:c>
      <x:c r="M148" s="35" t="str">
        <x:v>Concluído</x:v>
      </x:c>
      <x:c r="N148" s="35" t="n">
        <x:v>19</x:v>
      </x:c>
      <x:c r="O148" s="35" t="n">
        <x:v>4</x:v>
      </x:c>
      <x:c r="P148" s="37" t="n">
        <x:f>ROUND(H148*I148,2)</x:f>
        <x:v>51.6</x:v>
      </x:c>
      <x:c r="Q148" s="37" t="n">
        <x:f>ROUND(P148*J148,2)</x:f>
        <x:v>0</x:v>
      </x:c>
      <x:c r="R148" s="37" t="n">
        <x:f>ROUND(P148-Q148,2)</x:f>
        <x:v>51.6</x:v>
      </x:c>
      <x:c r="S148" s="37" t="n">
        <x:v>23.8</x:v>
      </x:c>
      <x:c r="T148" s="37" t="n">
        <x:f>ROUND(R148-S148,2)</x:f>
        <x:v>27.8</x:v>
      </x:c>
    </x:row>
    <x:row r="149">
      <x:c r="A149" s="35" t="str">
        <x:v>CAF-0148</x:v>
      </x:c>
      <x:c r="B149" s="36" t="n">
        <x:v>46209</x:v>
      </x:c>
      <x:c r="C149" s="35" t="str">
        <x:v>18:02</x:v>
      </x:c>
      <x:c r="D149" s="35" t="str">
        <x:v>Aplicativo</x:v>
      </x:c>
      <x:c r="E149" s="35" t="str">
        <x:v>Expresso</x:v>
      </x:c>
      <x:c r="F149" s="35" t="str">
        <x:v>Cafés</x:v>
      </x:c>
      <x:c r="G149" s="35" t="str">
        <x:v>Único</x:v>
      </x:c>
      <x:c r="H149" s="35" t="n">
        <x:v>1</x:v>
      </x:c>
      <x:c r="I149" s="37" t="n">
        <x:v>6.5</x:v>
      </x:c>
      <x:c r="J149" s="38" t="n">
        <x:v>0.05</x:v>
      </x:c>
      <x:c r="K149" s="35" t="str">
        <x:v>Dinheiro</x:v>
      </x:c>
      <x:c r="L149" s="35" t="str">
        <x:v>Programa de fidelidade</x:v>
      </x:c>
      <x:c r="M149" s="35" t="str">
        <x:v>Concluído</x:v>
      </x:c>
      <x:c r="N149" s="35" t="n">
        <x:v>12</x:v>
      </x:c>
      <x:c r="O149" s="35" t="n">
        <x:v>3</x:v>
      </x:c>
      <x:c r="P149" s="37" t="n">
        <x:f>ROUND(H149*I149,2)</x:f>
        <x:v>6.5</x:v>
      </x:c>
      <x:c r="Q149" s="37" t="n">
        <x:f>ROUND(P149*J149,2)</x:f>
        <x:v>0.33</x:v>
      </x:c>
      <x:c r="R149" s="37" t="n">
        <x:f>ROUND(P149-Q149,2)</x:f>
        <x:v>6.17</x:v>
      </x:c>
      <x:c r="S149" s="37" t="n">
        <x:v>2.81</x:v>
      </x:c>
      <x:c r="T149" s="37" t="n">
        <x:f>ROUND(R149-S149,2)</x:f>
        <x:v>3.36</x:v>
      </x:c>
    </x:row>
    <x:row r="150">
      <x:c r="A150" s="35" t="str">
        <x:v>CAF-0149</x:v>
      </x:c>
      <x:c r="B150" s="36" t="n">
        <x:v>46209</x:v>
      </x:c>
      <x:c r="C150" s="35" t="str">
        <x:v>08:06</x:v>
      </x:c>
      <x:c r="D150" s="35" t="str">
        <x:v>Totem</x:v>
      </x:c>
      <x:c r="E150" s="35" t="str">
        <x:v>Pão de queijo</x:v>
      </x:c>
      <x:c r="F150" s="35" t="str">
        <x:v>Comidas</x:v>
      </x:c>
      <x:c r="G150" s="35" t="str">
        <x:v>Porção</x:v>
      </x:c>
      <x:c r="H150" s="35" t="n">
        <x:v>2</x:v>
      </x:c>
      <x:c r="I150" s="37" t="n">
        <x:v>8.5</x:v>
      </x:c>
      <x:c r="J150" s="38" t="n">
        <x:v>0</x:v>
      </x:c>
      <x:c r="K150" s="35" t="str">
        <x:v>Dinheiro</x:v>
      </x:c>
      <x:c r="L150" s="35" t="str">
        <x:v>Novo</x:v>
      </x:c>
      <x:c r="M150" s="35" t="str">
        <x:v>Concluído</x:v>
      </x:c>
      <x:c r="N150" s="35" t="n">
        <x:v>16</x:v>
      </x:c>
      <x:c r="O150" s="35" t="n">
        <x:v>4</x:v>
      </x:c>
      <x:c r="P150" s="37" t="n">
        <x:f>ROUND(H150*I150,2)</x:f>
        <x:v>17</x:v>
      </x:c>
      <x:c r="Q150" s="37" t="n">
        <x:f>ROUND(P150*J150,2)</x:f>
        <x:v>0</x:v>
      </x:c>
      <x:c r="R150" s="37" t="n">
        <x:f>ROUND(P150-Q150,2)</x:f>
        <x:v>17</x:v>
      </x:c>
      <x:c r="S150" s="37" t="n">
        <x:v>7.81</x:v>
      </x:c>
      <x:c r="T150" s="37" t="n">
        <x:f>ROUND(R150-S150,2)</x:f>
        <x:v>9.19</x:v>
      </x:c>
    </x:row>
    <x:row r="151">
      <x:c r="A151" s="35" t="str">
        <x:v>CAF-0150</x:v>
      </x:c>
      <x:c r="B151" s="36" t="n">
        <x:v>46227</x:v>
      </x:c>
      <x:c r="C151" s="35" t="str">
        <x:v>11:49</x:v>
      </x:c>
      <x:c r="D151" s="35" t="str">
        <x:v>Delivery</x:v>
      </x:c>
      <x:c r="E151" s="35" t="str">
        <x:v>Expresso</x:v>
      </x:c>
      <x:c r="F151" s="35" t="str">
        <x:v>Cafés</x:v>
      </x:c>
      <x:c r="G151" s="35" t="str">
        <x:v>Único</x:v>
      </x:c>
      <x:c r="H151" s="35" t="n">
        <x:v>3</x:v>
      </x:c>
      <x:c r="I151" s="37" t="n">
        <x:v>6.5</x:v>
      </x:c>
      <x:c r="J151" s="38" t="n">
        <x:v>0</x:v>
      </x:c>
      <x:c r="K151" s="35" t="str">
        <x:v>Pix</x:v>
      </x:c>
      <x:c r="L151" s="35" t="str">
        <x:v>Recorrente</x:v>
      </x:c>
      <x:c r="M151" s="35" t="str">
        <x:v>Concluído</x:v>
      </x:c>
      <x:c r="N151" s="35" t="n">
        <x:v>9</x:v>
      </x:c>
      <x:c r="O151" s="35" t="n">
        <x:v>3</x:v>
      </x:c>
      <x:c r="P151" s="37" t="n">
        <x:f>ROUND(H151*I151,2)</x:f>
        <x:v>19.5</x:v>
      </x:c>
      <x:c r="Q151" s="37" t="n">
        <x:f>ROUND(P151*J151,2)</x:f>
        <x:v>0</x:v>
      </x:c>
      <x:c r="R151" s="37" t="n">
        <x:f>ROUND(P151-Q151,2)</x:f>
        <x:v>19.5</x:v>
      </x:c>
      <x:c r="S151" s="37" t="n">
        <x:v>7.72</x:v>
      </x:c>
      <x:c r="T151" s="37" t="n">
        <x:f>ROUND(R151-S151,2)</x:f>
        <x:v>11.78</x:v>
      </x:c>
    </x:row>
    <x:row r="152">
      <x:c r="A152" s="35" t="str">
        <x:v>CAF-0151</x:v>
      </x:c>
      <x:c r="B152" s="36" t="n">
        <x:v>46220</x:v>
      </x:c>
      <x:c r="C152" s="35" t="str">
        <x:v>11:05</x:v>
      </x:c>
      <x:c r="D152" s="35" t="str">
        <x:v>Delivery</x:v>
      </x:c>
      <x:c r="E152" s="35" t="str">
        <x:v>Pão de queijo</x:v>
      </x:c>
      <x:c r="F152" s="35" t="str">
        <x:v>Comidas</x:v>
      </x:c>
      <x:c r="G152" s="35" t="str">
        <x:v>Porção</x:v>
      </x:c>
      <x:c r="H152" s="35" t="n">
        <x:v>1</x:v>
      </x:c>
      <x:c r="I152" s="37" t="n">
        <x:v>8.5</x:v>
      </x:c>
      <x:c r="J152" s="38" t="n">
        <x:v>0</x:v>
      </x:c>
      <x:c r="K152" s="35" t="str">
        <x:v>Cartão de débito</x:v>
      </x:c>
      <x:c r="L152" s="35" t="str">
        <x:v>Recorrente</x:v>
      </x:c>
      <x:c r="M152" s="35" t="str">
        <x:v>Cancelado</x:v>
      </x:c>
      <x:c r="N152" s="35" t="n">
        <x:v>16</x:v>
      </x:c>
      <x:c r="O152" s="35"/>
      <x:c r="P152" s="37" t="n">
        <x:f>ROUND(H152*I152,2)</x:f>
        <x:v>8.5</x:v>
      </x:c>
      <x:c r="Q152" s="37" t="n">
        <x:f>ROUND(P152*J152,2)</x:f>
        <x:v>0</x:v>
      </x:c>
      <x:c r="R152" s="37" t="n">
        <x:f>ROUND(P152-Q152,2)</x:f>
        <x:v>8.5</x:v>
      </x:c>
      <x:c r="S152" s="37" t="n">
        <x:v>3.75</x:v>
      </x:c>
      <x:c r="T152" s="37" t="n">
        <x:f>ROUND(R152-S152,2)</x:f>
        <x:v>4.75</x:v>
      </x:c>
    </x:row>
    <x:row r="153">
      <x:c r="A153" s="35" t="str">
        <x:v>CAF-0152</x:v>
      </x:c>
      <x:c r="B153" s="36" t="n">
        <x:v>46210</x:v>
      </x:c>
      <x:c r="C153" s="35" t="str">
        <x:v>15:06</x:v>
      </x:c>
      <x:c r="D153" s="35" t="str">
        <x:v>Aplicativo</x:v>
      </x:c>
      <x:c r="E153" s="35" t="str">
        <x:v>Croissant</x:v>
      </x:c>
      <x:c r="F153" s="35" t="str">
        <x:v>Comidas</x:v>
      </x:c>
      <x:c r="G153" s="35" t="str">
        <x:v>Único</x:v>
      </x:c>
      <x:c r="H153" s="35" t="n">
        <x:v>4</x:v>
      </x:c>
      <x:c r="I153" s="37" t="n">
        <x:v>12.5</x:v>
      </x:c>
      <x:c r="J153" s="38" t="n">
        <x:v>0.1</x:v>
      </x:c>
      <x:c r="K153" s="35" t="str">
        <x:v>Dinheiro</x:v>
      </x:c>
      <x:c r="L153" s="35" t="str">
        <x:v>Novo</x:v>
      </x:c>
      <x:c r="M153" s="35" t="str">
        <x:v>Concluído</x:v>
      </x:c>
      <x:c r="N153" s="35" t="n">
        <x:v>18</x:v>
      </x:c>
      <x:c r="O153" s="35" t="n">
        <x:v>5</x:v>
      </x:c>
      <x:c r="P153" s="37" t="n">
        <x:f>ROUND(H153*I153,2)</x:f>
        <x:v>50</x:v>
      </x:c>
      <x:c r="Q153" s="37" t="n">
        <x:f>ROUND(P153*J153,2)</x:f>
        <x:v>5</x:v>
      </x:c>
      <x:c r="R153" s="37" t="n">
        <x:f>ROUND(P153-Q153,2)</x:f>
        <x:v>45</x:v>
      </x:c>
      <x:c r="S153" s="37" t="n">
        <x:v>17.83</x:v>
      </x:c>
      <x:c r="T153" s="37" t="n">
        <x:f>ROUND(R153-S153,2)</x:f>
        <x:v>27.17</x:v>
      </x:c>
    </x:row>
    <x:row r="154">
      <x:c r="A154" s="35" t="str">
        <x:v>CAF-0153</x:v>
      </x:c>
      <x:c r="B154" s="36" t="n">
        <x:v>46217</x:v>
      </x:c>
      <x:c r="C154" s="35" t="str">
        <x:v>12:54</x:v>
      </x:c>
      <x:c r="D154" s="35" t="str">
        <x:v>Aplicativo</x:v>
      </x:c>
      <x:c r="E154" s="35" t="str">
        <x:v>Suco natural</x:v>
      </x:c>
      <x:c r="F154" s="35" t="str">
        <x:v>Bebidas frias</x:v>
      </x:c>
      <x:c r="G154" s="35" t="str">
        <x:v>Grande</x:v>
      </x:c>
      <x:c r="H154" s="35" t="n">
        <x:v>3</x:v>
      </x:c>
      <x:c r="I154" s="37" t="n">
        <x:v>11.9</x:v>
      </x:c>
      <x:c r="J154" s="38" t="n">
        <x:v>0</x:v>
      </x:c>
      <x:c r="K154" s="35" t="str">
        <x:v>Cartão de crédito</x:v>
      </x:c>
      <x:c r="L154" s="35" t="str">
        <x:v>Programa de fidelidade</x:v>
      </x:c>
      <x:c r="M154" s="35" t="str">
        <x:v>Cancelado</x:v>
      </x:c>
      <x:c r="N154" s="35" t="n">
        <x:v>19</x:v>
      </x:c>
      <x:c r="O154" s="35"/>
      <x:c r="P154" s="37" t="n">
        <x:f>ROUND(H154*I154,2)</x:f>
        <x:v>35.7</x:v>
      </x:c>
      <x:c r="Q154" s="37" t="n">
        <x:f>ROUND(P154*J154,2)</x:f>
        <x:v>0</x:v>
      </x:c>
      <x:c r="R154" s="37" t="n">
        <x:f>ROUND(P154-Q154,2)</x:f>
        <x:v>35.7</x:v>
      </x:c>
      <x:c r="S154" s="37" t="n">
        <x:v>15.73</x:v>
      </x:c>
      <x:c r="T154" s="37" t="n">
        <x:f>ROUND(R154-S154,2)</x:f>
        <x:v>19.97</x:v>
      </x:c>
    </x:row>
    <x:row r="155">
      <x:c r="A155" s="35" t="str">
        <x:v>CAF-0154</x:v>
      </x:c>
      <x:c r="B155" s="36" t="n">
        <x:v>46226</x:v>
      </x:c>
      <x:c r="C155" s="35" t="str">
        <x:v>13:38</x:v>
      </x:c>
      <x:c r="D155" s="35" t="str">
        <x:v>Totem</x:v>
      </x:c>
      <x:c r="E155" s="35" t="str">
        <x:v>Latte</x:v>
      </x:c>
      <x:c r="F155" s="35" t="str">
        <x:v>Cafés</x:v>
      </x:c>
      <x:c r="G155" s="35" t="str">
        <x:v>Médio</x:v>
      </x:c>
      <x:c r="H155" s="35" t="n">
        <x:v>1</x:v>
      </x:c>
      <x:c r="I155" s="37" t="n">
        <x:v>13.9</x:v>
      </x:c>
      <x:c r="J155" s="38" t="n">
        <x:v>0</x:v>
      </x:c>
      <x:c r="K155" s="35" t="str">
        <x:v>Cartão de débito</x:v>
      </x:c>
      <x:c r="L155" s="35" t="str">
        <x:v>Programa de fidelidade</x:v>
      </x:c>
      <x:c r="M155" s="35" t="str">
        <x:v>Concluído</x:v>
      </x:c>
      <x:c r="N155" s="35" t="n">
        <x:v>6</x:v>
      </x:c>
      <x:c r="O155" s="35" t="n">
        <x:v>3</x:v>
      </x:c>
      <x:c r="P155" s="37" t="n">
        <x:f>ROUND(H155*I155,2)</x:f>
        <x:v>13.9</x:v>
      </x:c>
      <x:c r="Q155" s="37" t="n">
        <x:f>ROUND(P155*J155,2)</x:f>
        <x:v>0</x:v>
      </x:c>
      <x:c r="R155" s="37" t="n">
        <x:f>ROUND(P155-Q155,2)</x:f>
        <x:v>13.9</x:v>
      </x:c>
      <x:c r="S155" s="37" t="n">
        <x:v>6.11</x:v>
      </x:c>
      <x:c r="T155" s="37" t="n">
        <x:f>ROUND(R155-S155,2)</x:f>
        <x:v>7.79</x:v>
      </x:c>
    </x:row>
    <x:row r="156">
      <x:c r="A156" s="35" t="str">
        <x:v>CAF-0155</x:v>
      </x:c>
      <x:c r="B156" s="36" t="n">
        <x:v>46229</x:v>
      </x:c>
      <x:c r="C156" s="35" t="str">
        <x:v>16:46</x:v>
      </x:c>
      <x:c r="D156" s="35" t="str">
        <x:v>Totem</x:v>
      </x:c>
      <x:c r="E156" s="35" t="str">
        <x:v>Pão de queijo</x:v>
      </x:c>
      <x:c r="F156" s="35" t="str">
        <x:v>Comidas</x:v>
      </x:c>
      <x:c r="G156" s="35" t="str">
        <x:v>Porção</x:v>
      </x:c>
      <x:c r="H156" s="35" t="n">
        <x:v>1</x:v>
      </x:c>
      <x:c r="I156" s="37" t="n">
        <x:v>8.5</x:v>
      </x:c>
      <x:c r="J156" s="38" t="n">
        <x:v>0</x:v>
      </x:c>
      <x:c r="K156" s="35" t="str">
        <x:v>Cartão de crédito</x:v>
      </x:c>
      <x:c r="L156" s="35" t="str">
        <x:v>Programa de fidelidade</x:v>
      </x:c>
      <x:c r="M156" s="35" t="str">
        <x:v>Concluído</x:v>
      </x:c>
      <x:c r="N156" s="35" t="n">
        <x:v>14</x:v>
      </x:c>
      <x:c r="O156" s="35" t="n">
        <x:v>3</x:v>
      </x:c>
      <x:c r="P156" s="37" t="n">
        <x:f>ROUND(H156*I156,2)</x:f>
        <x:v>8.5</x:v>
      </x:c>
      <x:c r="Q156" s="37" t="n">
        <x:f>ROUND(P156*J156,2)</x:f>
        <x:v>0</x:v>
      </x:c>
      <x:c r="R156" s="37" t="n">
        <x:f>ROUND(P156-Q156,2)</x:f>
        <x:v>8.5</x:v>
      </x:c>
      <x:c r="S156" s="37" t="n">
        <x:v>3.85</x:v>
      </x:c>
      <x:c r="T156" s="37" t="n">
        <x:f>ROUND(R156-S156,2)</x:f>
        <x:v>4.65</x:v>
      </x:c>
    </x:row>
    <x:row r="157">
      <x:c r="A157" s="35" t="str">
        <x:v>CAF-0156</x:v>
      </x:c>
      <x:c r="B157" s="36" t="n">
        <x:v>46234</x:v>
      </x:c>
      <x:c r="C157" s="35" t="str">
        <x:v>12:44</x:v>
      </x:c>
      <x:c r="D157" s="35" t="str">
        <x:v>Delivery</x:v>
      </x:c>
      <x:c r="E157" s="35" t="str">
        <x:v>Brownie</x:v>
      </x:c>
      <x:c r="F157" s="35" t="str">
        <x:v>Comidas</x:v>
      </x:c>
      <x:c r="G157" s="35" t="str">
        <x:v>Fatia</x:v>
      </x:c>
      <x:c r="H157" s="35" t="n">
        <x:v>3</x:v>
      </x:c>
      <x:c r="I157" s="37" t="n">
        <x:v>9.5</x:v>
      </x:c>
      <x:c r="J157" s="38" t="n">
        <x:v>0</x:v>
      </x:c>
      <x:c r="K157" s="35" t="str">
        <x:v>Cartão de débito</x:v>
      </x:c>
      <x:c r="L157" s="35" t="str">
        <x:v>Novo</x:v>
      </x:c>
      <x:c r="M157" s="35" t="str">
        <x:v>Concluído</x:v>
      </x:c>
      <x:c r="N157" s="35" t="n">
        <x:v>4</x:v>
      </x:c>
      <x:c r="O157" s="35" t="n">
        <x:v>4</x:v>
      </x:c>
      <x:c r="P157" s="37" t="n">
        <x:f>ROUND(H157*I157,2)</x:f>
        <x:v>28.5</x:v>
      </x:c>
      <x:c r="Q157" s="37" t="n">
        <x:f>ROUND(P157*J157,2)</x:f>
        <x:v>0</x:v>
      </x:c>
      <x:c r="R157" s="37" t="n">
        <x:f>ROUND(P157-Q157,2)</x:f>
        <x:v>28.5</x:v>
      </x:c>
      <x:c r="S157" s="37" t="n">
        <x:v>11.97</x:v>
      </x:c>
      <x:c r="T157" s="37" t="n">
        <x:f>ROUND(R157-S157,2)</x:f>
        <x:v>16.53</x:v>
      </x:c>
    </x:row>
    <x:row r="158">
      <x:c r="A158" s="35" t="str">
        <x:v>CAF-0157</x:v>
      </x:c>
      <x:c r="B158" s="36" t="n">
        <x:v>46229</x:v>
      </x:c>
      <x:c r="C158" s="35" t="str">
        <x:v>12:11</x:v>
      </x:c>
      <x:c r="D158" s="35" t="str">
        <x:v>Aplicativo</x:v>
      </x:c>
      <x:c r="E158" s="35" t="str">
        <x:v>Brownie</x:v>
      </x:c>
      <x:c r="F158" s="35" t="str">
        <x:v>Comidas</x:v>
      </x:c>
      <x:c r="G158" s="35" t="str">
        <x:v>Fatia</x:v>
      </x:c>
      <x:c r="H158" s="35" t="n">
        <x:v>2</x:v>
      </x:c>
      <x:c r="I158" s="37" t="n">
        <x:v>9.5</x:v>
      </x:c>
      <x:c r="J158" s="38" t="n">
        <x:v>0</x:v>
      </x:c>
      <x:c r="K158" s="35" t="str">
        <x:v>Cartão de crédito</x:v>
      </x:c>
      <x:c r="L158" s="35" t="str">
        <x:v>Programa de fidelidade</x:v>
      </x:c>
      <x:c r="M158" s="35" t="str">
        <x:v>Cancelado</x:v>
      </x:c>
      <x:c r="N158" s="35" t="n">
        <x:v>8</x:v>
      </x:c>
      <x:c r="O158" s="35"/>
      <x:c r="P158" s="37" t="n">
        <x:f>ROUND(H158*I158,2)</x:f>
        <x:v>19</x:v>
      </x:c>
      <x:c r="Q158" s="37" t="n">
        <x:f>ROUND(P158*J158,2)</x:f>
        <x:v>0</x:v>
      </x:c>
      <x:c r="R158" s="37" t="n">
        <x:f>ROUND(P158-Q158,2)</x:f>
        <x:v>19</x:v>
      </x:c>
      <x:c r="S158" s="37" t="n">
        <x:v>7.57</x:v>
      </x:c>
      <x:c r="T158" s="37" t="n">
        <x:f>ROUND(R158-S158,2)</x:f>
        <x:v>11.43</x:v>
      </x:c>
    </x:row>
    <x:row r="159">
      <x:c r="A159" s="35" t="str">
        <x:v>CAF-0158</x:v>
      </x:c>
      <x:c r="B159" s="36" t="n">
        <x:v>46217</x:v>
      </x:c>
      <x:c r="C159" s="35" t="str">
        <x:v>18:48</x:v>
      </x:c>
      <x:c r="D159" s="35" t="str">
        <x:v>Delivery</x:v>
      </x:c>
      <x:c r="E159" s="35" t="str">
        <x:v>Mocha</x:v>
      </x:c>
      <x:c r="F159" s="35" t="str">
        <x:v>Cafés</x:v>
      </x:c>
      <x:c r="G159" s="35" t="str">
        <x:v>Médio</x:v>
      </x:c>
      <x:c r="H159" s="35" t="n">
        <x:v>3</x:v>
      </x:c>
      <x:c r="I159" s="37" t="n">
        <x:v>15.5</x:v>
      </x:c>
      <x:c r="J159" s="38" t="n">
        <x:v>0</x:v>
      </x:c>
      <x:c r="K159" s="35" t="str">
        <x:v>Dinheiro</x:v>
      </x:c>
      <x:c r="L159" s="35" t="str">
        <x:v>Novo</x:v>
      </x:c>
      <x:c r="M159" s="35" t="str">
        <x:v>Concluído</x:v>
      </x:c>
      <x:c r="N159" s="35" t="n">
        <x:v>13</x:v>
      </x:c>
      <x:c r="O159" s="35" t="n">
        <x:v>4</x:v>
      </x:c>
      <x:c r="P159" s="37" t="n">
        <x:f>ROUND(H159*I159,2)</x:f>
        <x:v>46.5</x:v>
      </x:c>
      <x:c r="Q159" s="37" t="n">
        <x:f>ROUND(P159*J159,2)</x:f>
        <x:v>0</x:v>
      </x:c>
      <x:c r="R159" s="37" t="n">
        <x:f>ROUND(P159-Q159,2)</x:f>
        <x:v>46.5</x:v>
      </x:c>
      <x:c r="S159" s="37" t="n">
        <x:v>20.25</x:v>
      </x:c>
      <x:c r="T159" s="37" t="n">
        <x:f>ROUND(R159-S159,2)</x:f>
        <x:v>26.25</x:v>
      </x:c>
    </x:row>
    <x:row r="160">
      <x:c r="A160" s="35" t="str">
        <x:v>CAF-0159</x:v>
      </x:c>
      <x:c r="B160" s="36" t="n">
        <x:v>46204</x:v>
      </x:c>
      <x:c r="C160" s="35" t="str">
        <x:v>09:18</x:v>
      </x:c>
      <x:c r="D160" s="35" t="str">
        <x:v>Balcão</x:v>
      </x:c>
      <x:c r="E160" s="35" t="str">
        <x:v>Expresso</x:v>
      </x:c>
      <x:c r="F160" s="35" t="str">
        <x:v>Cafés</x:v>
      </x:c>
      <x:c r="G160" s="35" t="str">
        <x:v>Único</x:v>
      </x:c>
      <x:c r="H160" s="35" t="n">
        <x:v>3</x:v>
      </x:c>
      <x:c r="I160" s="37" t="n">
        <x:v>6.5</x:v>
      </x:c>
      <x:c r="J160" s="38" t="n">
        <x:v>0</x:v>
      </x:c>
      <x:c r="K160" s="35" t="str">
        <x:v>Cartão de crédito</x:v>
      </x:c>
      <x:c r="L160" s="35" t="str">
        <x:v>Programa de fidelidade</x:v>
      </x:c>
      <x:c r="M160" s="35" t="str">
        <x:v>Concluído</x:v>
      </x:c>
      <x:c r="N160" s="35" t="n">
        <x:v>6</x:v>
      </x:c>
      <x:c r="O160" s="35" t="n">
        <x:v>5</x:v>
      </x:c>
      <x:c r="P160" s="37" t="n">
        <x:f>ROUND(H160*I160,2)</x:f>
        <x:v>19.5</x:v>
      </x:c>
      <x:c r="Q160" s="37" t="n">
        <x:f>ROUND(P160*J160,2)</x:f>
        <x:v>0</x:v>
      </x:c>
      <x:c r="R160" s="37" t="n">
        <x:f>ROUND(P160-Q160,2)</x:f>
        <x:v>19.5</x:v>
      </x:c>
      <x:c r="S160" s="37" t="n">
        <x:v>7.44</x:v>
      </x:c>
      <x:c r="T160" s="37" t="n">
        <x:f>ROUND(R160-S160,2)</x:f>
        <x:v>12.06</x:v>
      </x:c>
    </x:row>
    <x:row r="161">
      <x:c r="A161" s="35" t="str">
        <x:v>CAF-0160</x:v>
      </x:c>
      <x:c r="B161" s="36" t="n">
        <x:v>46233</x:v>
      </x:c>
      <x:c r="C161" s="35" t="str">
        <x:v>11:31</x:v>
      </x:c>
      <x:c r="D161" s="35" t="str">
        <x:v>Delivery</x:v>
      </x:c>
      <x:c r="E161" s="35" t="str">
        <x:v>Latte</x:v>
      </x:c>
      <x:c r="F161" s="35" t="str">
        <x:v>Cafés</x:v>
      </x:c>
      <x:c r="G161" s="35" t="str">
        <x:v>Médio</x:v>
      </x:c>
      <x:c r="H161" s="35" t="n">
        <x:v>2</x:v>
      </x:c>
      <x:c r="I161" s="37" t="n">
        <x:v>13.9</x:v>
      </x:c>
      <x:c r="J161" s="38" t="n">
        <x:v>0</x:v>
      </x:c>
      <x:c r="K161" s="35" t="str">
        <x:v>Cartão de crédito</x:v>
      </x:c>
      <x:c r="L161" s="35" t="str">
        <x:v>Programa de fidelidade</x:v>
      </x:c>
      <x:c r="M161" s="35" t="str">
        <x:v>Concluído</x:v>
      </x:c>
      <x:c r="N161" s="35" t="n">
        <x:v>17</x:v>
      </x:c>
      <x:c r="O161" s="35" t="n">
        <x:v>5</x:v>
      </x:c>
      <x:c r="P161" s="37" t="n">
        <x:f>ROUND(H161*I161,2)</x:f>
        <x:v>27.8</x:v>
      </x:c>
      <x:c r="Q161" s="37" t="n">
        <x:f>ROUND(P161*J161,2)</x:f>
        <x:v>0</x:v>
      </x:c>
      <x:c r="R161" s="37" t="n">
        <x:f>ROUND(P161-Q161,2)</x:f>
        <x:v>27.8</x:v>
      </x:c>
      <x:c r="S161" s="37" t="n">
        <x:v>10.84</x:v>
      </x:c>
      <x:c r="T161" s="37" t="n">
        <x:f>ROUND(R161-S161,2)</x:f>
        <x:v>16.96</x:v>
      </x:c>
    </x:row>
    <x:row r="162">
      <x:c r="A162" s="35" t="str">
        <x:v>CAF-0161</x:v>
      </x:c>
      <x:c r="B162" s="36" t="n">
        <x:v>46215</x:v>
      </x:c>
      <x:c r="C162" s="35" t="str">
        <x:v>18:14</x:v>
      </x:c>
      <x:c r="D162" s="35" t="str">
        <x:v>Balcão</x:v>
      </x:c>
      <x:c r="E162" s="35" t="str">
        <x:v>Sanduíche natural</x:v>
      </x:c>
      <x:c r="F162" s="35" t="str">
        <x:v>Comidas</x:v>
      </x:c>
      <x:c r="G162" s="35" t="str">
        <x:v>Único</x:v>
      </x:c>
      <x:c r="H162" s="35" t="n">
        <x:v>4</x:v>
      </x:c>
      <x:c r="I162" s="37" t="n">
        <x:v>18.9</x:v>
      </x:c>
      <x:c r="J162" s="38" t="n">
        <x:v>0</x:v>
      </x:c>
      <x:c r="K162" s="35" t="str">
        <x:v>Cartão de crédito</x:v>
      </x:c>
      <x:c r="L162" s="35" t="str">
        <x:v>Programa de fidelidade</x:v>
      </x:c>
      <x:c r="M162" s="35" t="str">
        <x:v>Concluído</x:v>
      </x:c>
      <x:c r="N162" s="35" t="n">
        <x:v>15</x:v>
      </x:c>
      <x:c r="O162" s="35" t="n">
        <x:v>5</x:v>
      </x:c>
      <x:c r="P162" s="37" t="n">
        <x:f>ROUND(H162*I162,2)</x:f>
        <x:v>75.6</x:v>
      </x:c>
      <x:c r="Q162" s="37" t="n">
        <x:f>ROUND(P162*J162,2)</x:f>
        <x:v>0</x:v>
      </x:c>
      <x:c r="R162" s="37" t="n">
        <x:f>ROUND(P162-Q162,2)</x:f>
        <x:v>75.6</x:v>
      </x:c>
      <x:c r="S162" s="37" t="n">
        <x:v>29.91</x:v>
      </x:c>
      <x:c r="T162" s="37" t="n">
        <x:f>ROUND(R162-S162,2)</x:f>
        <x:v>45.69</x:v>
      </x:c>
    </x:row>
    <x:row r="163">
      <x:c r="A163" s="35" t="str">
        <x:v>CAF-0162</x:v>
      </x:c>
      <x:c r="B163" s="36" t="n">
        <x:v>46223</x:v>
      </x:c>
      <x:c r="C163" s="35" t="str">
        <x:v>12:19</x:v>
      </x:c>
      <x:c r="D163" s="35" t="str">
        <x:v>Aplicativo</x:v>
      </x:c>
      <x:c r="E163" s="35" t="str">
        <x:v>Expresso</x:v>
      </x:c>
      <x:c r="F163" s="35" t="str">
        <x:v>Cafés</x:v>
      </x:c>
      <x:c r="G163" s="35" t="str">
        <x:v>Único</x:v>
      </x:c>
      <x:c r="H163" s="35" t="n">
        <x:v>2</x:v>
      </x:c>
      <x:c r="I163" s="37" t="n">
        <x:v>6.5</x:v>
      </x:c>
      <x:c r="J163" s="38" t="n">
        <x:v>0</x:v>
      </x:c>
      <x:c r="K163" s="35" t="str">
        <x:v>Cartão de débito</x:v>
      </x:c>
      <x:c r="L163" s="35" t="str">
        <x:v>Recorrente</x:v>
      </x:c>
      <x:c r="M163" s="35" t="str">
        <x:v>Concluído</x:v>
      </x:c>
      <x:c r="N163" s="35" t="n">
        <x:v>14</x:v>
      </x:c>
      <x:c r="O163" s="35" t="n">
        <x:v>4</x:v>
      </x:c>
      <x:c r="P163" s="37" t="n">
        <x:f>ROUND(H163*I163,2)</x:f>
        <x:v>13</x:v>
      </x:c>
      <x:c r="Q163" s="37" t="n">
        <x:f>ROUND(P163*J163,2)</x:f>
        <x:v>0</x:v>
      </x:c>
      <x:c r="R163" s="37" t="n">
        <x:f>ROUND(P163-Q163,2)</x:f>
        <x:v>13</x:v>
      </x:c>
      <x:c r="S163" s="37" t="n">
        <x:v>6.02</x:v>
      </x:c>
      <x:c r="T163" s="37" t="n">
        <x:f>ROUND(R163-S163,2)</x:f>
        <x:v>6.98</x:v>
      </x:c>
    </x:row>
    <x:row r="164">
      <x:c r="A164" s="35" t="str">
        <x:v>CAF-0163</x:v>
      </x:c>
      <x:c r="B164" s="36" t="n">
        <x:v>46225</x:v>
      </x:c>
      <x:c r="C164" s="35" t="str">
        <x:v>16:17</x:v>
      </x:c>
      <x:c r="D164" s="35" t="str">
        <x:v>Aplicativo</x:v>
      </x:c>
      <x:c r="E164" s="35" t="str">
        <x:v>Cappuccino</x:v>
      </x:c>
      <x:c r="F164" s="35" t="str">
        <x:v>Cafés</x:v>
      </x:c>
      <x:c r="G164" s="35" t="str">
        <x:v>Médio</x:v>
      </x:c>
      <x:c r="H164" s="35" t="n">
        <x:v>4</x:v>
      </x:c>
      <x:c r="I164" s="37" t="n">
        <x:v>12.9</x:v>
      </x:c>
      <x:c r="J164" s="38" t="n">
        <x:v>0</x:v>
      </x:c>
      <x:c r="K164" s="35" t="str">
        <x:v>Cartão de crédito</x:v>
      </x:c>
      <x:c r="L164" s="35" t="str">
        <x:v>Programa de fidelidade</x:v>
      </x:c>
      <x:c r="M164" s="35" t="str">
        <x:v>Concluído</x:v>
      </x:c>
      <x:c r="N164" s="35" t="n">
        <x:v>8</x:v>
      </x:c>
      <x:c r="O164" s="35" t="n">
        <x:v>5</x:v>
      </x:c>
      <x:c r="P164" s="37" t="n">
        <x:f>ROUND(H164*I164,2)</x:f>
        <x:v>51.6</x:v>
      </x:c>
      <x:c r="Q164" s="37" t="n">
        <x:f>ROUND(P164*J164,2)</x:f>
        <x:v>0</x:v>
      </x:c>
      <x:c r="R164" s="37" t="n">
        <x:f>ROUND(P164-Q164,2)</x:f>
        <x:v>51.6</x:v>
      </x:c>
      <x:c r="S164" s="37" t="n">
        <x:v>19.14</x:v>
      </x:c>
      <x:c r="T164" s="37" t="n">
        <x:f>ROUND(R164-S164,2)</x:f>
        <x:v>32.46</x:v>
      </x:c>
    </x:row>
    <x:row r="165">
      <x:c r="A165" s="35" t="str">
        <x:v>CAF-0164</x:v>
      </x:c>
      <x:c r="B165" s="36" t="n">
        <x:v>46229</x:v>
      </x:c>
      <x:c r="C165" s="35" t="str">
        <x:v>11:27</x:v>
      </x:c>
      <x:c r="D165" s="35" t="str">
        <x:v>Aplicativo</x:v>
      </x:c>
      <x:c r="E165" s="35" t="str">
        <x:v>Bolo de chocolate</x:v>
      </x:c>
      <x:c r="F165" s="35" t="str">
        <x:v>Comidas</x:v>
      </x:c>
      <x:c r="G165" s="35" t="str">
        <x:v>Fatia</x:v>
      </x:c>
      <x:c r="H165" s="35" t="n">
        <x:v>1</x:v>
      </x:c>
      <x:c r="I165" s="37" t="n">
        <x:v>10.9</x:v>
      </x:c>
      <x:c r="J165" s="38" t="n">
        <x:v>0</x:v>
      </x:c>
      <x:c r="K165" s="35" t="str">
        <x:v>Cartão de crédito</x:v>
      </x:c>
      <x:c r="L165" s="35" t="str">
        <x:v>Recorrente</x:v>
      </x:c>
      <x:c r="M165" s="35" t="str">
        <x:v>Concluído</x:v>
      </x:c>
      <x:c r="N165" s="35" t="n">
        <x:v>5</x:v>
      </x:c>
      <x:c r="O165" s="35" t="n">
        <x:v>4</x:v>
      </x:c>
      <x:c r="P165" s="37" t="n">
        <x:f>ROUND(H165*I165,2)</x:f>
        <x:v>10.9</x:v>
      </x:c>
      <x:c r="Q165" s="37" t="n">
        <x:f>ROUND(P165*J165,2)</x:f>
        <x:v>0</x:v>
      </x:c>
      <x:c r="R165" s="37" t="n">
        <x:f>ROUND(P165-Q165,2)</x:f>
        <x:v>10.9</x:v>
      </x:c>
      <x:c r="S165" s="37" t="n">
        <x:v>3.95</x:v>
      </x:c>
      <x:c r="T165" s="37" t="n">
        <x:f>ROUND(R165-S165,2)</x:f>
        <x:v>6.95</x:v>
      </x:c>
    </x:row>
    <x:row r="166">
      <x:c r="A166" s="35" t="str">
        <x:v>CAF-0165</x:v>
      </x:c>
      <x:c r="B166" s="36" t="n">
        <x:v>46212</x:v>
      </x:c>
      <x:c r="C166" s="35" t="str">
        <x:v>08:56</x:v>
      </x:c>
      <x:c r="D166" s="35" t="str">
        <x:v>Balcão</x:v>
      </x:c>
      <x:c r="E166" s="35" t="str">
        <x:v>Cappuccino</x:v>
      </x:c>
      <x:c r="F166" s="35" t="str">
        <x:v>Cafés</x:v>
      </x:c>
      <x:c r="G166" s="35" t="str">
        <x:v>Médio</x:v>
      </x:c>
      <x:c r="H166" s="35" t="n">
        <x:v>3</x:v>
      </x:c>
      <x:c r="I166" s="37" t="n">
        <x:v>12.9</x:v>
      </x:c>
      <x:c r="J166" s="38" t="n">
        <x:v>0.05</x:v>
      </x:c>
      <x:c r="K166" s="35" t="str">
        <x:v>Cartão de crédito</x:v>
      </x:c>
      <x:c r="L166" s="35" t="str">
        <x:v>Recorrente</x:v>
      </x:c>
      <x:c r="M166" s="35" t="str">
        <x:v>Cancelado</x:v>
      </x:c>
      <x:c r="N166" s="35" t="n">
        <x:v>11</x:v>
      </x:c>
      <x:c r="O166" s="35"/>
      <x:c r="P166" s="37" t="n">
        <x:f>ROUND(H166*I166,2)</x:f>
        <x:v>38.7</x:v>
      </x:c>
      <x:c r="Q166" s="37" t="n">
        <x:f>ROUND(P166*J166,2)</x:f>
        <x:v>1.94</x:v>
      </x:c>
      <x:c r="R166" s="37" t="n">
        <x:f>ROUND(P166-Q166,2)</x:f>
        <x:v>36.76</x:v>
      </x:c>
      <x:c r="S166" s="37" t="n">
        <x:v>15.75</x:v>
      </x:c>
      <x:c r="T166" s="37" t="n">
        <x:f>ROUND(R166-S166,2)</x:f>
        <x:v>21.01</x:v>
      </x:c>
    </x:row>
    <x:row r="167">
      <x:c r="A167" s="35" t="str">
        <x:v>CAF-0166</x:v>
      </x:c>
      <x:c r="B167" s="36" t="n">
        <x:v>46221</x:v>
      </x:c>
      <x:c r="C167" s="35" t="str">
        <x:v>12:07</x:v>
      </x:c>
      <x:c r="D167" s="35" t="str">
        <x:v>Balcão</x:v>
      </x:c>
      <x:c r="E167" s="35" t="str">
        <x:v>Bolo de chocolate</x:v>
      </x:c>
      <x:c r="F167" s="35" t="str">
        <x:v>Comidas</x:v>
      </x:c>
      <x:c r="G167" s="35" t="str">
        <x:v>Fatia</x:v>
      </x:c>
      <x:c r="H167" s="35" t="n">
        <x:v>4</x:v>
      </x:c>
      <x:c r="I167" s="37" t="n">
        <x:v>10.9</x:v>
      </x:c>
      <x:c r="J167" s="38" t="n">
        <x:v>0</x:v>
      </x:c>
      <x:c r="K167" s="35" t="str">
        <x:v>Dinheiro</x:v>
      </x:c>
      <x:c r="L167" s="35" t="str">
        <x:v>Recorrente</x:v>
      </x:c>
      <x:c r="M167" s="35" t="str">
        <x:v>Concluído</x:v>
      </x:c>
      <x:c r="N167" s="35" t="n">
        <x:v>16</x:v>
      </x:c>
      <x:c r="O167" s="35" t="n">
        <x:v>5</x:v>
      </x:c>
      <x:c r="P167" s="37" t="n">
        <x:f>ROUND(H167*I167,2)</x:f>
        <x:v>43.6</x:v>
      </x:c>
      <x:c r="Q167" s="37" t="n">
        <x:f>ROUND(P167*J167,2)</x:f>
        <x:v>0</x:v>
      </x:c>
      <x:c r="R167" s="37" t="n">
        <x:f>ROUND(P167-Q167,2)</x:f>
        <x:v>43.6</x:v>
      </x:c>
      <x:c r="S167" s="37" t="n">
        <x:v>17.08</x:v>
      </x:c>
      <x:c r="T167" s="37" t="n">
        <x:f>ROUND(R167-S167,2)</x:f>
        <x:v>26.52</x:v>
      </x:c>
    </x:row>
    <x:row r="168">
      <x:c r="A168" s="35" t="str">
        <x:v>CAF-0167</x:v>
      </x:c>
      <x:c r="B168" s="36" t="n">
        <x:v>46209</x:v>
      </x:c>
      <x:c r="C168" s="35" t="str">
        <x:v>12:54</x:v>
      </x:c>
      <x:c r="D168" s="35" t="str">
        <x:v>Delivery</x:v>
      </x:c>
      <x:c r="E168" s="35" t="str">
        <x:v>Chá gelado</x:v>
      </x:c>
      <x:c r="F168" s="35" t="str">
        <x:v>Bebidas frias</x:v>
      </x:c>
      <x:c r="G168" s="35" t="str">
        <x:v>Médio</x:v>
      </x:c>
      <x:c r="H168" s="35" t="n">
        <x:v>3</x:v>
      </x:c>
      <x:c r="I168" s="37" t="n">
        <x:v>9.9</x:v>
      </x:c>
      <x:c r="J168" s="38" t="n">
        <x:v>0.1</x:v>
      </x:c>
      <x:c r="K168" s="35" t="str">
        <x:v>Dinheiro</x:v>
      </x:c>
      <x:c r="L168" s="35" t="str">
        <x:v>Novo</x:v>
      </x:c>
      <x:c r="M168" s="35" t="str">
        <x:v>Concluído</x:v>
      </x:c>
      <x:c r="N168" s="35" t="n">
        <x:v>17</x:v>
      </x:c>
      <x:c r="O168" s="35" t="n">
        <x:v>4</x:v>
      </x:c>
      <x:c r="P168" s="37" t="n">
        <x:f>ROUND(H168*I168,2)</x:f>
        <x:v>29.7</x:v>
      </x:c>
      <x:c r="Q168" s="37" t="n">
        <x:f>ROUND(P168*J168,2)</x:f>
        <x:v>2.97</x:v>
      </x:c>
      <x:c r="R168" s="37" t="n">
        <x:f>ROUND(P168-Q168,2)</x:f>
        <x:v>26.73</x:v>
      </x:c>
      <x:c r="S168" s="37" t="n">
        <x:v>13.69</x:v>
      </x:c>
      <x:c r="T168" s="37" t="n">
        <x:f>ROUND(R168-S168,2)</x:f>
        <x:v>13.04</x:v>
      </x:c>
    </x:row>
    <x:row r="169">
      <x:c r="A169" s="35" t="str">
        <x:v>CAF-0168</x:v>
      </x:c>
      <x:c r="B169" s="36" t="n">
        <x:v>46227</x:v>
      </x:c>
      <x:c r="C169" s="35" t="str">
        <x:v>14:43</x:v>
      </x:c>
      <x:c r="D169" s="35" t="str">
        <x:v>Totem</x:v>
      </x:c>
      <x:c r="E169" s="35" t="str">
        <x:v>Mocha</x:v>
      </x:c>
      <x:c r="F169" s="35" t="str">
        <x:v>Cafés</x:v>
      </x:c>
      <x:c r="G169" s="35" t="str">
        <x:v>Médio</x:v>
      </x:c>
      <x:c r="H169" s="35" t="n">
        <x:v>1</x:v>
      </x:c>
      <x:c r="I169" s="37" t="n">
        <x:v>15.5</x:v>
      </x:c>
      <x:c r="J169" s="38" t="n">
        <x:v>0</x:v>
      </x:c>
      <x:c r="K169" s="35" t="str">
        <x:v>Dinheiro</x:v>
      </x:c>
      <x:c r="L169" s="35" t="str">
        <x:v>Novo</x:v>
      </x:c>
      <x:c r="M169" s="35" t="str">
        <x:v>Concluído</x:v>
      </x:c>
      <x:c r="N169" s="35" t="n">
        <x:v>5</x:v>
      </x:c>
      <x:c r="O169" s="35" t="n">
        <x:v>5</x:v>
      </x:c>
      <x:c r="P169" s="37" t="n">
        <x:f>ROUND(H169*I169,2)</x:f>
        <x:v>15.5</x:v>
      </x:c>
      <x:c r="Q169" s="37" t="n">
        <x:f>ROUND(P169*J169,2)</x:f>
        <x:v>0</x:v>
      </x:c>
      <x:c r="R169" s="37" t="n">
        <x:f>ROUND(P169-Q169,2)</x:f>
        <x:v>15.5</x:v>
      </x:c>
      <x:c r="S169" s="37" t="n">
        <x:v>6.12</x:v>
      </x:c>
      <x:c r="T169" s="37" t="n">
        <x:f>ROUND(R169-S169,2)</x:f>
        <x:v>9.38</x:v>
      </x:c>
    </x:row>
    <x:row r="170">
      <x:c r="A170" s="35" t="str">
        <x:v>CAF-0169</x:v>
      </x:c>
      <x:c r="B170" s="36" t="n">
        <x:v>46228</x:v>
      </x:c>
      <x:c r="C170" s="35" t="str">
        <x:v>12:44</x:v>
      </x:c>
      <x:c r="D170" s="35" t="str">
        <x:v>Totem</x:v>
      </x:c>
      <x:c r="E170" s="35" t="str">
        <x:v>Brownie</x:v>
      </x:c>
      <x:c r="F170" s="35" t="str">
        <x:v>Comidas</x:v>
      </x:c>
      <x:c r="G170" s="35" t="str">
        <x:v>Fatia</x:v>
      </x:c>
      <x:c r="H170" s="35" t="n">
        <x:v>4</x:v>
      </x:c>
      <x:c r="I170" s="37" t="n">
        <x:v>9.5</x:v>
      </x:c>
      <x:c r="J170" s="38" t="n">
        <x:v>0</x:v>
      </x:c>
      <x:c r="K170" s="35" t="str">
        <x:v>Dinheiro</x:v>
      </x:c>
      <x:c r="L170" s="35" t="str">
        <x:v>Novo</x:v>
      </x:c>
      <x:c r="M170" s="35" t="str">
        <x:v>Concluído</x:v>
      </x:c>
      <x:c r="N170" s="35" t="n">
        <x:v>15</x:v>
      </x:c>
      <x:c r="O170" s="35" t="n">
        <x:v>3</x:v>
      </x:c>
      <x:c r="P170" s="37" t="n">
        <x:f>ROUND(H170*I170,2)</x:f>
        <x:v>38</x:v>
      </x:c>
      <x:c r="Q170" s="37" t="n">
        <x:f>ROUND(P170*J170,2)</x:f>
        <x:v>0</x:v>
      </x:c>
      <x:c r="R170" s="37" t="n">
        <x:f>ROUND(P170-Q170,2)</x:f>
        <x:v>38</x:v>
      </x:c>
      <x:c r="S170" s="37" t="n">
        <x:v>14.71</x:v>
      </x:c>
      <x:c r="T170" s="37" t="n">
        <x:f>ROUND(R170-S170,2)</x:f>
        <x:v>23.29</x:v>
      </x:c>
    </x:row>
    <x:row r="171">
      <x:c r="A171" s="35" t="str">
        <x:v>CAF-0170</x:v>
      </x:c>
      <x:c r="B171" s="36" t="n">
        <x:v>46227</x:v>
      </x:c>
      <x:c r="C171" s="35" t="str">
        <x:v>18:05</x:v>
      </x:c>
      <x:c r="D171" s="35" t="str">
        <x:v>Balcão</x:v>
      </x:c>
      <x:c r="E171" s="35" t="str">
        <x:v>Brownie</x:v>
      </x:c>
      <x:c r="F171" s="35" t="str">
        <x:v>Comidas</x:v>
      </x:c>
      <x:c r="G171" s="35" t="str">
        <x:v>Fatia</x:v>
      </x:c>
      <x:c r="H171" s="35" t="n">
        <x:v>4</x:v>
      </x:c>
      <x:c r="I171" s="37" t="n">
        <x:v>9.5</x:v>
      </x:c>
      <x:c r="J171" s="38" t="n">
        <x:v>0</x:v>
      </x:c>
      <x:c r="K171" s="35" t="str">
        <x:v>Cartão de débito</x:v>
      </x:c>
      <x:c r="L171" s="35" t="str">
        <x:v>Programa de fidelidade</x:v>
      </x:c>
      <x:c r="M171" s="35" t="str">
        <x:v>Cancelado</x:v>
      </x:c>
      <x:c r="N171" s="35" t="n">
        <x:v>3</x:v>
      </x:c>
      <x:c r="O171" s="35"/>
      <x:c r="P171" s="37" t="n">
        <x:f>ROUND(H171*I171,2)</x:f>
        <x:v>38</x:v>
      </x:c>
      <x:c r="Q171" s="37" t="n">
        <x:f>ROUND(P171*J171,2)</x:f>
        <x:v>0</x:v>
      </x:c>
      <x:c r="R171" s="37" t="n">
        <x:f>ROUND(P171-Q171,2)</x:f>
        <x:v>38</x:v>
      </x:c>
      <x:c r="S171" s="37" t="n">
        <x:v>14.98</x:v>
      </x:c>
      <x:c r="T171" s="37" t="n">
        <x:f>ROUND(R171-S171,2)</x:f>
        <x:v>23.02</x:v>
      </x:c>
    </x:row>
    <x:row r="172">
      <x:c r="A172" s="35" t="str">
        <x:v>CAF-0171</x:v>
      </x:c>
      <x:c r="B172" s="36" t="n">
        <x:v>46210</x:v>
      </x:c>
      <x:c r="C172" s="35" t="str">
        <x:v>14:41</x:v>
      </x:c>
      <x:c r="D172" s="35" t="str">
        <x:v>Totem</x:v>
      </x:c>
      <x:c r="E172" s="35" t="str">
        <x:v>Bolo de chocolate</x:v>
      </x:c>
      <x:c r="F172" s="35" t="str">
        <x:v>Comidas</x:v>
      </x:c>
      <x:c r="G172" s="35" t="str">
        <x:v>Fatia</x:v>
      </x:c>
      <x:c r="H172" s="35" t="n">
        <x:v>1</x:v>
      </x:c>
      <x:c r="I172" s="37" t="n">
        <x:v>10.9</x:v>
      </x:c>
      <x:c r="J172" s="38" t="n">
        <x:v>0</x:v>
      </x:c>
      <x:c r="K172" s="35" t="str">
        <x:v>Dinheiro</x:v>
      </x:c>
      <x:c r="L172" s="35" t="str">
        <x:v>Novo</x:v>
      </x:c>
      <x:c r="M172" s="35" t="str">
        <x:v>Cancelado</x:v>
      </x:c>
      <x:c r="N172" s="35" t="n">
        <x:v>13</x:v>
      </x:c>
      <x:c r="O172" s="35"/>
      <x:c r="P172" s="37" t="n">
        <x:f>ROUND(H172*I172,2)</x:f>
        <x:v>10.9</x:v>
      </x:c>
      <x:c r="Q172" s="37" t="n">
        <x:f>ROUND(P172*J172,2)</x:f>
        <x:v>0</x:v>
      </x:c>
      <x:c r="R172" s="37" t="n">
        <x:f>ROUND(P172-Q172,2)</x:f>
        <x:v>10.9</x:v>
      </x:c>
      <x:c r="S172" s="37" t="n">
        <x:v>4.91</x:v>
      </x:c>
      <x:c r="T172" s="37" t="n">
        <x:f>ROUND(R172-S172,2)</x:f>
        <x:v>5.99</x:v>
      </x:c>
    </x:row>
    <x:row r="173">
      <x:c r="A173" s="35" t="str">
        <x:v>CAF-0172</x:v>
      </x:c>
      <x:c r="B173" s="36" t="n">
        <x:v>46220</x:v>
      </x:c>
      <x:c r="C173" s="35" t="str">
        <x:v>11:15</x:v>
      </x:c>
      <x:c r="D173" s="35" t="str">
        <x:v>Aplicativo</x:v>
      </x:c>
      <x:c r="E173" s="35" t="str">
        <x:v>Sanduíche natural</x:v>
      </x:c>
      <x:c r="F173" s="35" t="str">
        <x:v>Comidas</x:v>
      </x:c>
      <x:c r="G173" s="35" t="str">
        <x:v>Único</x:v>
      </x:c>
      <x:c r="H173" s="35" t="n">
        <x:v>3</x:v>
      </x:c>
      <x:c r="I173" s="37" t="n">
        <x:v>18.9</x:v>
      </x:c>
      <x:c r="J173" s="38" t="n">
        <x:v>0</x:v>
      </x:c>
      <x:c r="K173" s="35" t="str">
        <x:v>Cartão de débito</x:v>
      </x:c>
      <x:c r="L173" s="35" t="str">
        <x:v>Recorrente</x:v>
      </x:c>
      <x:c r="M173" s="35" t="str">
        <x:v>Concluído</x:v>
      </x:c>
      <x:c r="N173" s="35" t="n">
        <x:v>8</x:v>
      </x:c>
      <x:c r="O173" s="35" t="n">
        <x:v>3</x:v>
      </x:c>
      <x:c r="P173" s="37" t="n">
        <x:f>ROUND(H173*I173,2)</x:f>
        <x:v>56.7</x:v>
      </x:c>
      <x:c r="Q173" s="37" t="n">
        <x:f>ROUND(P173*J173,2)</x:f>
        <x:v>0</x:v>
      </x:c>
      <x:c r="R173" s="37" t="n">
        <x:f>ROUND(P173-Q173,2)</x:f>
        <x:v>56.7</x:v>
      </x:c>
      <x:c r="S173" s="37" t="n">
        <x:v>25.45</x:v>
      </x:c>
      <x:c r="T173" s="37" t="n">
        <x:f>ROUND(R173-S173,2)</x:f>
        <x:v>31.25</x:v>
      </x:c>
    </x:row>
    <x:row r="174">
      <x:c r="A174" s="35" t="str">
        <x:v>CAF-0173</x:v>
      </x:c>
      <x:c r="B174" s="36" t="n">
        <x:v>46230</x:v>
      </x:c>
      <x:c r="C174" s="35" t="str">
        <x:v>12:36</x:v>
      </x:c>
      <x:c r="D174" s="35" t="str">
        <x:v>Totem</x:v>
      </x:c>
      <x:c r="E174" s="35" t="str">
        <x:v>Chá gelado</x:v>
      </x:c>
      <x:c r="F174" s="35" t="str">
        <x:v>Bebidas frias</x:v>
      </x:c>
      <x:c r="G174" s="35" t="str">
        <x:v>Médio</x:v>
      </x:c>
      <x:c r="H174" s="35" t="n">
        <x:v>1</x:v>
      </x:c>
      <x:c r="I174" s="37" t="n">
        <x:v>9.9</x:v>
      </x:c>
      <x:c r="J174" s="38" t="n">
        <x:v>0</x:v>
      </x:c>
      <x:c r="K174" s="35" t="str">
        <x:v>Cartão de débito</x:v>
      </x:c>
      <x:c r="L174" s="35" t="str">
        <x:v>Recorrente</x:v>
      </x:c>
      <x:c r="M174" s="35" t="str">
        <x:v>Cancelado</x:v>
      </x:c>
      <x:c r="N174" s="35" t="n">
        <x:v>13</x:v>
      </x:c>
      <x:c r="O174" s="35"/>
      <x:c r="P174" s="37" t="n">
        <x:f>ROUND(H174*I174,2)</x:f>
        <x:v>9.9</x:v>
      </x:c>
      <x:c r="Q174" s="37" t="n">
        <x:f>ROUND(P174*J174,2)</x:f>
        <x:v>0</x:v>
      </x:c>
      <x:c r="R174" s="37" t="n">
        <x:f>ROUND(P174-Q174,2)</x:f>
        <x:v>9.9</x:v>
      </x:c>
      <x:c r="S174" s="37" t="n">
        <x:v>4.05</x:v>
      </x:c>
      <x:c r="T174" s="37" t="n">
        <x:f>ROUND(R174-S174,2)</x:f>
        <x:v>5.85</x:v>
      </x:c>
    </x:row>
    <x:row r="175">
      <x:c r="A175" s="35" t="str">
        <x:v>CAF-0174</x:v>
      </x:c>
      <x:c r="B175" s="36" t="n">
        <x:v>46227</x:v>
      </x:c>
      <x:c r="C175" s="35" t="str">
        <x:v>18:20</x:v>
      </x:c>
      <x:c r="D175" s="35" t="str">
        <x:v>Totem</x:v>
      </x:c>
      <x:c r="E175" s="35" t="str">
        <x:v>Chá gelado</x:v>
      </x:c>
      <x:c r="F175" s="35" t="str">
        <x:v>Bebidas frias</x:v>
      </x:c>
      <x:c r="G175" s="35" t="str">
        <x:v>Médio</x:v>
      </x:c>
      <x:c r="H175" s="35" t="n">
        <x:v>2</x:v>
      </x:c>
      <x:c r="I175" s="37" t="n">
        <x:v>9.9</x:v>
      </x:c>
      <x:c r="J175" s="38" t="n">
        <x:v>0</x:v>
      </x:c>
      <x:c r="K175" s="35" t="str">
        <x:v>Cartão de crédito</x:v>
      </x:c>
      <x:c r="L175" s="35" t="str">
        <x:v>Recorrente</x:v>
      </x:c>
      <x:c r="M175" s="35" t="str">
        <x:v>Concluído</x:v>
      </x:c>
      <x:c r="N175" s="35" t="n">
        <x:v>15</x:v>
      </x:c>
      <x:c r="O175" s="35" t="n">
        <x:v>3</x:v>
      </x:c>
      <x:c r="P175" s="37" t="n">
        <x:f>ROUND(H175*I175,2)</x:f>
        <x:v>19.8</x:v>
      </x:c>
      <x:c r="Q175" s="37" t="n">
        <x:f>ROUND(P175*J175,2)</x:f>
        <x:v>0</x:v>
      </x:c>
      <x:c r="R175" s="37" t="n">
        <x:f>ROUND(P175-Q175,2)</x:f>
        <x:v>19.8</x:v>
      </x:c>
      <x:c r="S175" s="37" t="n">
        <x:v>7.49</x:v>
      </x:c>
      <x:c r="T175" s="37" t="n">
        <x:f>ROUND(R175-S175,2)</x:f>
        <x:v>12.31</x:v>
      </x:c>
    </x:row>
    <x:row r="176">
      <x:c r="A176" s="35" t="str">
        <x:v>CAF-0175</x:v>
      </x:c>
      <x:c r="B176" s="36" t="n">
        <x:v>46216</x:v>
      </x:c>
      <x:c r="C176" s="35" t="str">
        <x:v>14:10</x:v>
      </x:c>
      <x:c r="D176" s="35" t="str">
        <x:v>Balcão</x:v>
      </x:c>
      <x:c r="E176" s="35" t="str">
        <x:v>Bolo de chocolate</x:v>
      </x:c>
      <x:c r="F176" s="35" t="str">
        <x:v>Comidas</x:v>
      </x:c>
      <x:c r="G176" s="35" t="str">
        <x:v>Fatia</x:v>
      </x:c>
      <x:c r="H176" s="35" t="n">
        <x:v>2</x:v>
      </x:c>
      <x:c r="I176" s="37" t="n">
        <x:v>10.9</x:v>
      </x:c>
      <x:c r="J176" s="38" t="n">
        <x:v>0</x:v>
      </x:c>
      <x:c r="K176" s="35" t="str">
        <x:v>Cartão de crédito</x:v>
      </x:c>
      <x:c r="L176" s="35" t="str">
        <x:v>Recorrente</x:v>
      </x:c>
      <x:c r="M176" s="35" t="str">
        <x:v>Concluído</x:v>
      </x:c>
      <x:c r="N176" s="35" t="n">
        <x:v>11</x:v>
      </x:c>
      <x:c r="O176" s="35" t="n">
        <x:v>5</x:v>
      </x:c>
      <x:c r="P176" s="37" t="n">
        <x:f>ROUND(H176*I176,2)</x:f>
        <x:v>21.8</x:v>
      </x:c>
      <x:c r="Q176" s="37" t="n">
        <x:f>ROUND(P176*J176,2)</x:f>
        <x:v>0</x:v>
      </x:c>
      <x:c r="R176" s="37" t="n">
        <x:f>ROUND(P176-Q176,2)</x:f>
        <x:v>21.8</x:v>
      </x:c>
      <x:c r="S176" s="37" t="n">
        <x:v>8.69</x:v>
      </x:c>
      <x:c r="T176" s="37" t="n">
        <x:f>ROUND(R176-S176,2)</x:f>
        <x:v>13.11</x:v>
      </x:c>
    </x:row>
    <x:row r="177">
      <x:c r="A177" s="35" t="str">
        <x:v>CAF-0176</x:v>
      </x:c>
      <x:c r="B177" s="36" t="n">
        <x:v>46204</x:v>
      </x:c>
      <x:c r="C177" s="35" t="str">
        <x:v>12:09</x:v>
      </x:c>
      <x:c r="D177" s="35" t="str">
        <x:v>Balcão</x:v>
      </x:c>
      <x:c r="E177" s="35" t="str">
        <x:v>Suco natural</x:v>
      </x:c>
      <x:c r="F177" s="35" t="str">
        <x:v>Bebidas frias</x:v>
      </x:c>
      <x:c r="G177" s="35" t="str">
        <x:v>Grande</x:v>
      </x:c>
      <x:c r="H177" s="35" t="n">
        <x:v>2</x:v>
      </x:c>
      <x:c r="I177" s="37" t="n">
        <x:v>11.9</x:v>
      </x:c>
      <x:c r="J177" s="38" t="n">
        <x:v>0.1</x:v>
      </x:c>
      <x:c r="K177" s="35" t="str">
        <x:v>Cartão de débito</x:v>
      </x:c>
      <x:c r="L177" s="35" t="str">
        <x:v>Programa de fidelidade</x:v>
      </x:c>
      <x:c r="M177" s="35" t="str">
        <x:v>Concluído</x:v>
      </x:c>
      <x:c r="N177" s="35" t="n">
        <x:v>14</x:v>
      </x:c>
      <x:c r="O177" s="35" t="n">
        <x:v>5</x:v>
      </x:c>
      <x:c r="P177" s="37" t="n">
        <x:f>ROUND(H177*I177,2)</x:f>
        <x:v>23.8</x:v>
      </x:c>
      <x:c r="Q177" s="37" t="n">
        <x:f>ROUND(P177*J177,2)</x:f>
        <x:v>2.38</x:v>
      </x:c>
      <x:c r="R177" s="37" t="n">
        <x:f>ROUND(P177-Q177,2)</x:f>
        <x:v>21.42</x:v>
      </x:c>
      <x:c r="S177" s="37" t="n">
        <x:v>9.2</x:v>
      </x:c>
      <x:c r="T177" s="37" t="n">
        <x:f>ROUND(R177-S177,2)</x:f>
        <x:v>12.22</x:v>
      </x:c>
    </x:row>
    <x:row r="178">
      <x:c r="A178" s="35" t="str">
        <x:v>CAF-0177</x:v>
      </x:c>
      <x:c r="B178" s="36" t="n">
        <x:v>46205</x:v>
      </x:c>
      <x:c r="C178" s="35" t="str">
        <x:v>08:02</x:v>
      </x:c>
      <x:c r="D178" s="35" t="str">
        <x:v>Delivery</x:v>
      </x:c>
      <x:c r="E178" s="35" t="str">
        <x:v>Cookie</x:v>
      </x:c>
      <x:c r="F178" s="35" t="str">
        <x:v>Comidas</x:v>
      </x:c>
      <x:c r="G178" s="35" t="str">
        <x:v>Único</x:v>
      </x:c>
      <x:c r="H178" s="35" t="n">
        <x:v>4</x:v>
      </x:c>
      <x:c r="I178" s="37" t="n">
        <x:v>7.5</x:v>
      </x:c>
      <x:c r="J178" s="38" t="n">
        <x:v>0</x:v>
      </x:c>
      <x:c r="K178" s="35" t="str">
        <x:v>Pix</x:v>
      </x:c>
      <x:c r="L178" s="35" t="str">
        <x:v>Novo</x:v>
      </x:c>
      <x:c r="M178" s="35" t="str">
        <x:v>Concluído</x:v>
      </x:c>
      <x:c r="N178" s="35" t="n">
        <x:v>17</x:v>
      </x:c>
      <x:c r="O178" s="35" t="n">
        <x:v>4</x:v>
      </x:c>
      <x:c r="P178" s="37" t="n">
        <x:f>ROUND(H178*I178,2)</x:f>
        <x:v>30</x:v>
      </x:c>
      <x:c r="Q178" s="37" t="n">
        <x:f>ROUND(P178*J178,2)</x:f>
        <x:v>0</x:v>
      </x:c>
      <x:c r="R178" s="37" t="n">
        <x:f>ROUND(P178-Q178,2)</x:f>
        <x:v>30</x:v>
      </x:c>
      <x:c r="S178" s="37" t="n">
        <x:v>13.97</x:v>
      </x:c>
      <x:c r="T178" s="37" t="n">
        <x:f>ROUND(R178-S178,2)</x:f>
        <x:v>16.03</x:v>
      </x:c>
    </x:row>
    <x:row r="179">
      <x:c r="A179" s="35" t="str">
        <x:v>CAF-0178</x:v>
      </x:c>
      <x:c r="B179" s="36" t="n">
        <x:v>46234</x:v>
      </x:c>
      <x:c r="C179" s="35" t="str">
        <x:v>16:11</x:v>
      </x:c>
      <x:c r="D179" s="35" t="str">
        <x:v>Balcão</x:v>
      </x:c>
      <x:c r="E179" s="35" t="str">
        <x:v>Croissant</x:v>
      </x:c>
      <x:c r="F179" s="35" t="str">
        <x:v>Comidas</x:v>
      </x:c>
      <x:c r="G179" s="35" t="str">
        <x:v>Único</x:v>
      </x:c>
      <x:c r="H179" s="35" t="n">
        <x:v>3</x:v>
      </x:c>
      <x:c r="I179" s="37" t="n">
        <x:v>12.5</x:v>
      </x:c>
      <x:c r="J179" s="38" t="n">
        <x:v>0</x:v>
      </x:c>
      <x:c r="K179" s="35" t="str">
        <x:v>Pix</x:v>
      </x:c>
      <x:c r="L179" s="35" t="str">
        <x:v>Recorrente</x:v>
      </x:c>
      <x:c r="M179" s="35" t="str">
        <x:v>Concluído</x:v>
      </x:c>
      <x:c r="N179" s="35" t="n">
        <x:v>13</x:v>
      </x:c>
      <x:c r="O179" s="35" t="n">
        <x:v>4</x:v>
      </x:c>
      <x:c r="P179" s="37" t="n">
        <x:f>ROUND(H179*I179,2)</x:f>
        <x:v>37.5</x:v>
      </x:c>
      <x:c r="Q179" s="37" t="n">
        <x:f>ROUND(P179*J179,2)</x:f>
        <x:v>0</x:v>
      </x:c>
      <x:c r="R179" s="37" t="n">
        <x:f>ROUND(P179-Q179,2)</x:f>
        <x:v>37.5</x:v>
      </x:c>
      <x:c r="S179" s="37" t="n">
        <x:v>14.62</x:v>
      </x:c>
      <x:c r="T179" s="37" t="n">
        <x:f>ROUND(R179-S179,2)</x:f>
        <x:v>22.88</x:v>
      </x:c>
    </x:row>
    <x:row r="180">
      <x:c r="A180" s="35" t="str">
        <x:v>CAF-0179</x:v>
      </x:c>
      <x:c r="B180" s="36" t="n">
        <x:v>46221</x:v>
      </x:c>
      <x:c r="C180" s="35" t="str">
        <x:v>12:44</x:v>
      </x:c>
      <x:c r="D180" s="35" t="str">
        <x:v>Totem</x:v>
      </x:c>
      <x:c r="E180" s="35" t="str">
        <x:v>Bolo de chocolate</x:v>
      </x:c>
      <x:c r="F180" s="35" t="str">
        <x:v>Comidas</x:v>
      </x:c>
      <x:c r="G180" s="35" t="str">
        <x:v>Fatia</x:v>
      </x:c>
      <x:c r="H180" s="35" t="n">
        <x:v>1</x:v>
      </x:c>
      <x:c r="I180" s="37" t="n">
        <x:v>10.9</x:v>
      </x:c>
      <x:c r="J180" s="38" t="n">
        <x:v>0</x:v>
      </x:c>
      <x:c r="K180" s="35" t="str">
        <x:v>Pix</x:v>
      </x:c>
      <x:c r="L180" s="35" t="str">
        <x:v>Novo</x:v>
      </x:c>
      <x:c r="M180" s="35" t="str">
        <x:v>Concluído</x:v>
      </x:c>
      <x:c r="N180" s="35" t="n">
        <x:v>19</x:v>
      </x:c>
      <x:c r="O180" s="35" t="n">
        <x:v>4</x:v>
      </x:c>
      <x:c r="P180" s="37" t="n">
        <x:f>ROUND(H180*I180,2)</x:f>
        <x:v>10.9</x:v>
      </x:c>
      <x:c r="Q180" s="37" t="n">
        <x:f>ROUND(P180*J180,2)</x:f>
        <x:v>0</x:v>
      </x:c>
      <x:c r="R180" s="37" t="n">
        <x:f>ROUND(P180-Q180,2)</x:f>
        <x:v>10.9</x:v>
      </x:c>
      <x:c r="S180" s="37" t="n">
        <x:v>5</x:v>
      </x:c>
      <x:c r="T180" s="37" t="n">
        <x:f>ROUND(R180-S180,2)</x:f>
        <x:v>5.9</x:v>
      </x:c>
    </x:row>
    <x:row r="181">
      <x:c r="A181" s="35" t="str">
        <x:v>CAF-0180</x:v>
      </x:c>
      <x:c r="B181" s="36" t="n">
        <x:v>46216</x:v>
      </x:c>
      <x:c r="C181" s="35" t="str">
        <x:v>07:21</x:v>
      </x:c>
      <x:c r="D181" s="35" t="str">
        <x:v>Aplicativo</x:v>
      </x:c>
      <x:c r="E181" s="35" t="str">
        <x:v>Cappuccino</x:v>
      </x:c>
      <x:c r="F181" s="35" t="str">
        <x:v>Cafés</x:v>
      </x:c>
      <x:c r="G181" s="35" t="str">
        <x:v>Médio</x:v>
      </x:c>
      <x:c r="H181" s="35" t="n">
        <x:v>4</x:v>
      </x:c>
      <x:c r="I181" s="37" t="n">
        <x:v>12.9</x:v>
      </x:c>
      <x:c r="J181" s="38" t="n">
        <x:v>0</x:v>
      </x:c>
      <x:c r="K181" s="35" t="str">
        <x:v>Cartão de crédito</x:v>
      </x:c>
      <x:c r="L181" s="35" t="str">
        <x:v>Novo</x:v>
      </x:c>
      <x:c r="M181" s="35" t="str">
        <x:v>Concluído</x:v>
      </x:c>
      <x:c r="N181" s="35" t="n">
        <x:v>15</x:v>
      </x:c>
      <x:c r="O181" s="35" t="n">
        <x:v>3</x:v>
      </x:c>
      <x:c r="P181" s="37" t="n">
        <x:f>ROUND(H181*I181,2)</x:f>
        <x:v>51.6</x:v>
      </x:c>
      <x:c r="Q181" s="37" t="n">
        <x:f>ROUND(P181*J181,2)</x:f>
        <x:v>0</x:v>
      </x:c>
      <x:c r="R181" s="37" t="n">
        <x:f>ROUND(P181-Q181,2)</x:f>
        <x:v>51.6</x:v>
      </x:c>
      <x:c r="S181" s="37" t="n">
        <x:v>18.22</x:v>
      </x:c>
      <x:c r="T181" s="37" t="n">
        <x:f>ROUND(R181-S181,2)</x:f>
        <x:v>33.38</x:v>
      </x:c>
    </x:row>
    <x:row r="182">
      <x:c r="A182" s="35" t="str">
        <x:v>CAF-0181</x:v>
      </x:c>
      <x:c r="B182" s="36" t="n">
        <x:v>46207</x:v>
      </x:c>
      <x:c r="C182" s="35" t="str">
        <x:v>13:29</x:v>
      </x:c>
      <x:c r="D182" s="35" t="str">
        <x:v>Balcão</x:v>
      </x:c>
      <x:c r="E182" s="35" t="str">
        <x:v>Pão de queijo</x:v>
      </x:c>
      <x:c r="F182" s="35" t="str">
        <x:v>Comidas</x:v>
      </x:c>
      <x:c r="G182" s="35" t="str">
        <x:v>Porção</x:v>
      </x:c>
      <x:c r="H182" s="35" t="n">
        <x:v>1</x:v>
      </x:c>
      <x:c r="I182" s="37" t="n">
        <x:v>8.5</x:v>
      </x:c>
      <x:c r="J182" s="38" t="n">
        <x:v>0</x:v>
      </x:c>
      <x:c r="K182" s="35" t="str">
        <x:v>Cartão de débito</x:v>
      </x:c>
      <x:c r="L182" s="35" t="str">
        <x:v>Novo</x:v>
      </x:c>
      <x:c r="M182" s="35" t="str">
        <x:v>Concluído</x:v>
      </x:c>
      <x:c r="N182" s="35" t="n">
        <x:v>18</x:v>
      </x:c>
      <x:c r="O182" s="35" t="n">
        <x:v>3</x:v>
      </x:c>
      <x:c r="P182" s="37" t="n">
        <x:f>ROUND(H182*I182,2)</x:f>
        <x:v>8.5</x:v>
      </x:c>
      <x:c r="Q182" s="37" t="n">
        <x:f>ROUND(P182*J182,2)</x:f>
        <x:v>0</x:v>
      </x:c>
      <x:c r="R182" s="37" t="n">
        <x:f>ROUND(P182-Q182,2)</x:f>
        <x:v>8.5</x:v>
      </x:c>
      <x:c r="S182" s="37" t="n">
        <x:v>3.78</x:v>
      </x:c>
      <x:c r="T182" s="37" t="n">
        <x:f>ROUND(R182-S182,2)</x:f>
        <x:v>4.72</x:v>
      </x:c>
    </x:row>
    <x:row r="183">
      <x:c r="A183" s="35" t="str">
        <x:v>CAF-0182</x:v>
      </x:c>
      <x:c r="B183" s="36" t="n">
        <x:v>46220</x:v>
      </x:c>
      <x:c r="C183" s="35" t="str">
        <x:v>16:50</x:v>
      </x:c>
      <x:c r="D183" s="35" t="str">
        <x:v>Aplicativo</x:v>
      </x:c>
      <x:c r="E183" s="35" t="str">
        <x:v>Sanduíche natural</x:v>
      </x:c>
      <x:c r="F183" s="35" t="str">
        <x:v>Comidas</x:v>
      </x:c>
      <x:c r="G183" s="35" t="str">
        <x:v>Único</x:v>
      </x:c>
      <x:c r="H183" s="35" t="n">
        <x:v>1</x:v>
      </x:c>
      <x:c r="I183" s="37" t="n">
        <x:v>18.9</x:v>
      </x:c>
      <x:c r="J183" s="38" t="n">
        <x:v>0</x:v>
      </x:c>
      <x:c r="K183" s="35" t="str">
        <x:v>Dinheiro</x:v>
      </x:c>
      <x:c r="L183" s="35" t="str">
        <x:v>Recorrente</x:v>
      </x:c>
      <x:c r="M183" s="35" t="str">
        <x:v>Concluído</x:v>
      </x:c>
      <x:c r="N183" s="35" t="n">
        <x:v>20</x:v>
      </x:c>
      <x:c r="O183" s="35" t="n">
        <x:v>5</x:v>
      </x:c>
      <x:c r="P183" s="37" t="n">
        <x:f>ROUND(H183*I183,2)</x:f>
        <x:v>18.9</x:v>
      </x:c>
      <x:c r="Q183" s="37" t="n">
        <x:f>ROUND(P183*J183,2)</x:f>
        <x:v>0</x:v>
      </x:c>
      <x:c r="R183" s="37" t="n">
        <x:f>ROUND(P183-Q183,2)</x:f>
        <x:v>18.9</x:v>
      </x:c>
      <x:c r="S183" s="37" t="n">
        <x:v>7.93</x:v>
      </x:c>
      <x:c r="T183" s="37" t="n">
        <x:f>ROUND(R183-S183,2)</x:f>
        <x:v>10.97</x:v>
      </x:c>
    </x:row>
    <x:row r="184">
      <x:c r="A184" s="35" t="str">
        <x:v>CAF-0183</x:v>
      </x:c>
      <x:c r="B184" s="36" t="n">
        <x:v>46218</x:v>
      </x:c>
      <x:c r="C184" s="35" t="str">
        <x:v>11:39</x:v>
      </x:c>
      <x:c r="D184" s="35" t="str">
        <x:v>Totem</x:v>
      </x:c>
      <x:c r="E184" s="35" t="str">
        <x:v>Cookie</x:v>
      </x:c>
      <x:c r="F184" s="35" t="str">
        <x:v>Comidas</x:v>
      </x:c>
      <x:c r="G184" s="35" t="str">
        <x:v>Único</x:v>
      </x:c>
      <x:c r="H184" s="35" t="n">
        <x:v>4</x:v>
      </x:c>
      <x:c r="I184" s="37" t="n">
        <x:v>7.5</x:v>
      </x:c>
      <x:c r="J184" s="38" t="n">
        <x:v>0</x:v>
      </x:c>
      <x:c r="K184" s="35" t="str">
        <x:v>Cartão de débito</x:v>
      </x:c>
      <x:c r="L184" s="35" t="str">
        <x:v>Novo</x:v>
      </x:c>
      <x:c r="M184" s="35" t="str">
        <x:v>Concluído</x:v>
      </x:c>
      <x:c r="N184" s="35" t="n">
        <x:v>4</x:v>
      </x:c>
      <x:c r="O184" s="35" t="n">
        <x:v>3</x:v>
      </x:c>
      <x:c r="P184" s="37" t="n">
        <x:f>ROUND(H184*I184,2)</x:f>
        <x:v>30</x:v>
      </x:c>
      <x:c r="Q184" s="37" t="n">
        <x:f>ROUND(P184*J184,2)</x:f>
        <x:v>0</x:v>
      </x:c>
      <x:c r="R184" s="37" t="n">
        <x:f>ROUND(P184-Q184,2)</x:f>
        <x:v>30</x:v>
      </x:c>
      <x:c r="S184" s="37" t="n">
        <x:v>11.6</x:v>
      </x:c>
      <x:c r="T184" s="37" t="n">
        <x:f>ROUND(R184-S184,2)</x:f>
        <x:v>18.4</x:v>
      </x:c>
    </x:row>
    <x:row r="185">
      <x:c r="A185" s="35" t="str">
        <x:v>CAF-0184</x:v>
      </x:c>
      <x:c r="B185" s="36" t="n">
        <x:v>46217</x:v>
      </x:c>
      <x:c r="C185" s="35" t="str">
        <x:v>07:34</x:v>
      </x:c>
      <x:c r="D185" s="35" t="str">
        <x:v>Totem</x:v>
      </x:c>
      <x:c r="E185" s="35" t="str">
        <x:v>Expresso</x:v>
      </x:c>
      <x:c r="F185" s="35" t="str">
        <x:v>Cafés</x:v>
      </x:c>
      <x:c r="G185" s="35" t="str">
        <x:v>Único</x:v>
      </x:c>
      <x:c r="H185" s="35" t="n">
        <x:v>1</x:v>
      </x:c>
      <x:c r="I185" s="37" t="n">
        <x:v>6.5</x:v>
      </x:c>
      <x:c r="J185" s="38" t="n">
        <x:v>0</x:v>
      </x:c>
      <x:c r="K185" s="35" t="str">
        <x:v>Cartão de crédito</x:v>
      </x:c>
      <x:c r="L185" s="35" t="str">
        <x:v>Recorrente</x:v>
      </x:c>
      <x:c r="M185" s="35" t="str">
        <x:v>Concluído</x:v>
      </x:c>
      <x:c r="N185" s="35" t="n">
        <x:v>4</x:v>
      </x:c>
      <x:c r="O185" s="35" t="n">
        <x:v>3</x:v>
      </x:c>
      <x:c r="P185" s="37" t="n">
        <x:f>ROUND(H185*I185,2)</x:f>
        <x:v>6.5</x:v>
      </x:c>
      <x:c r="Q185" s="37" t="n">
        <x:f>ROUND(P185*J185,2)</x:f>
        <x:v>0</x:v>
      </x:c>
      <x:c r="R185" s="37" t="n">
        <x:f>ROUND(P185-Q185,2)</x:f>
        <x:v>6.5</x:v>
      </x:c>
      <x:c r="S185" s="37" t="n">
        <x:v>2.49</x:v>
      </x:c>
      <x:c r="T185" s="37" t="n">
        <x:f>ROUND(R185-S185,2)</x:f>
        <x:v>4.01</x:v>
      </x:c>
    </x:row>
    <x:row r="186">
      <x:c r="A186" s="35" t="str">
        <x:v>CAF-0185</x:v>
      </x:c>
      <x:c r="B186" s="36" t="n">
        <x:v>46228</x:v>
      </x:c>
      <x:c r="C186" s="35" t="str">
        <x:v>14:11</x:v>
      </x:c>
      <x:c r="D186" s="35" t="str">
        <x:v>Totem</x:v>
      </x:c>
      <x:c r="E186" s="35" t="str">
        <x:v>Bolo de chocolate</x:v>
      </x:c>
      <x:c r="F186" s="35" t="str">
        <x:v>Comidas</x:v>
      </x:c>
      <x:c r="G186" s="35" t="str">
        <x:v>Fatia</x:v>
      </x:c>
      <x:c r="H186" s="35" t="n">
        <x:v>3</x:v>
      </x:c>
      <x:c r="I186" s="37" t="n">
        <x:v>10.9</x:v>
      </x:c>
      <x:c r="J186" s="38" t="n">
        <x:v>0</x:v>
      </x:c>
      <x:c r="K186" s="35" t="str">
        <x:v>Pix</x:v>
      </x:c>
      <x:c r="L186" s="35" t="str">
        <x:v>Programa de fidelidade</x:v>
      </x:c>
      <x:c r="M186" s="35" t="str">
        <x:v>Concluído</x:v>
      </x:c>
      <x:c r="N186" s="35" t="n">
        <x:v>5</x:v>
      </x:c>
      <x:c r="O186" s="35" t="n">
        <x:v>4</x:v>
      </x:c>
      <x:c r="P186" s="37" t="n">
        <x:f>ROUND(H186*I186,2)</x:f>
        <x:v>32.7</x:v>
      </x:c>
      <x:c r="Q186" s="37" t="n">
        <x:f>ROUND(P186*J186,2)</x:f>
        <x:v>0</x:v>
      </x:c>
      <x:c r="R186" s="37" t="n">
        <x:f>ROUND(P186-Q186,2)</x:f>
        <x:v>32.7</x:v>
      </x:c>
      <x:c r="S186" s="37" t="n">
        <x:v>14.42</x:v>
      </x:c>
      <x:c r="T186" s="37" t="n">
        <x:f>ROUND(R186-S186,2)</x:f>
        <x:v>18.28</x:v>
      </x:c>
    </x:row>
    <x:row r="187">
      <x:c r="A187" s="35" t="str">
        <x:v>CAF-0186</x:v>
      </x:c>
      <x:c r="B187" s="36" t="n">
        <x:v>46223</x:v>
      </x:c>
      <x:c r="C187" s="35" t="str">
        <x:v>14:19</x:v>
      </x:c>
      <x:c r="D187" s="35" t="str">
        <x:v>Aplicativo</x:v>
      </x:c>
      <x:c r="E187" s="35" t="str">
        <x:v>Pão de queijo</x:v>
      </x:c>
      <x:c r="F187" s="35" t="str">
        <x:v>Comidas</x:v>
      </x:c>
      <x:c r="G187" s="35" t="str">
        <x:v>Porção</x:v>
      </x:c>
      <x:c r="H187" s="35" t="n">
        <x:v>2</x:v>
      </x:c>
      <x:c r="I187" s="37" t="n">
        <x:v>8.5</x:v>
      </x:c>
      <x:c r="J187" s="38" t="n">
        <x:v>0.05</x:v>
      </x:c>
      <x:c r="K187" s="35" t="str">
        <x:v>Cartão de crédito</x:v>
      </x:c>
      <x:c r="L187" s="35" t="str">
        <x:v>Novo</x:v>
      </x:c>
      <x:c r="M187" s="35" t="str">
        <x:v>Concluído</x:v>
      </x:c>
      <x:c r="N187" s="35" t="n">
        <x:v>3</x:v>
      </x:c>
      <x:c r="O187" s="35" t="n">
        <x:v>5</x:v>
      </x:c>
      <x:c r="P187" s="37" t="n">
        <x:f>ROUND(H187*I187,2)</x:f>
        <x:v>17</x:v>
      </x:c>
      <x:c r="Q187" s="37" t="n">
        <x:f>ROUND(P187*J187,2)</x:f>
        <x:v>0.85</x:v>
      </x:c>
      <x:c r="R187" s="37" t="n">
        <x:f>ROUND(P187-Q187,2)</x:f>
        <x:v>16.15</x:v>
      </x:c>
      <x:c r="S187" s="37" t="n">
        <x:v>6.49</x:v>
      </x:c>
      <x:c r="T187" s="37" t="n">
        <x:f>ROUND(R187-S187,2)</x:f>
        <x:v>9.66</x:v>
      </x:c>
    </x:row>
    <x:row r="188">
      <x:c r="A188" s="35" t="str">
        <x:v>CAF-0187</x:v>
      </x:c>
      <x:c r="B188" s="36" t="n">
        <x:v>46220</x:v>
      </x:c>
      <x:c r="C188" s="35" t="str">
        <x:v>17:19</x:v>
      </x:c>
      <x:c r="D188" s="35" t="str">
        <x:v>Aplicativo</x:v>
      </x:c>
      <x:c r="E188" s="35" t="str">
        <x:v>Mocha</x:v>
      </x:c>
      <x:c r="F188" s="35" t="str">
        <x:v>Cafés</x:v>
      </x:c>
      <x:c r="G188" s="35" t="str">
        <x:v>Médio</x:v>
      </x:c>
      <x:c r="H188" s="35" t="n">
        <x:v>1</x:v>
      </x:c>
      <x:c r="I188" s="37" t="n">
        <x:v>15.5</x:v>
      </x:c>
      <x:c r="J188" s="38" t="n">
        <x:v>0</x:v>
      </x:c>
      <x:c r="K188" s="35" t="str">
        <x:v>Pix</x:v>
      </x:c>
      <x:c r="L188" s="35" t="str">
        <x:v>Novo</x:v>
      </x:c>
      <x:c r="M188" s="35" t="str">
        <x:v>Cancelado</x:v>
      </x:c>
      <x:c r="N188" s="35" t="n">
        <x:v>4</x:v>
      </x:c>
      <x:c r="O188" s="35"/>
      <x:c r="P188" s="37" t="n">
        <x:f>ROUND(H188*I188,2)</x:f>
        <x:v>15.5</x:v>
      </x:c>
      <x:c r="Q188" s="37" t="n">
        <x:f>ROUND(P188*J188,2)</x:f>
        <x:v>0</x:v>
      </x:c>
      <x:c r="R188" s="37" t="n">
        <x:f>ROUND(P188-Q188,2)</x:f>
        <x:v>15.5</x:v>
      </x:c>
      <x:c r="S188" s="37" t="n">
        <x:v>5.8</x:v>
      </x:c>
      <x:c r="T188" s="37" t="n">
        <x:f>ROUND(R188-S188,2)</x:f>
        <x:v>9.7</x:v>
      </x:c>
    </x:row>
    <x:row r="189">
      <x:c r="A189" s="35" t="str">
        <x:v>CAF-0188</x:v>
      </x:c>
      <x:c r="B189" s="36" t="n">
        <x:v>46228</x:v>
      </x:c>
      <x:c r="C189" s="35" t="str">
        <x:v>10:12</x:v>
      </x:c>
      <x:c r="D189" s="35" t="str">
        <x:v>Totem</x:v>
      </x:c>
      <x:c r="E189" s="35" t="str">
        <x:v>Sanduíche natural</x:v>
      </x:c>
      <x:c r="F189" s="35" t="str">
        <x:v>Comidas</x:v>
      </x:c>
      <x:c r="G189" s="35" t="str">
        <x:v>Único</x:v>
      </x:c>
      <x:c r="H189" s="35" t="n">
        <x:v>1</x:v>
      </x:c>
      <x:c r="I189" s="37" t="n">
        <x:v>18.9</x:v>
      </x:c>
      <x:c r="J189" s="38" t="n">
        <x:v>0.1</x:v>
      </x:c>
      <x:c r="K189" s="35" t="str">
        <x:v>Cartão de crédito</x:v>
      </x:c>
      <x:c r="L189" s="35" t="str">
        <x:v>Novo</x:v>
      </x:c>
      <x:c r="M189" s="35" t="str">
        <x:v>Cancelado</x:v>
      </x:c>
      <x:c r="N189" s="35" t="n">
        <x:v>17</x:v>
      </x:c>
      <x:c r="O189" s="35"/>
      <x:c r="P189" s="37" t="n">
        <x:f>ROUND(H189*I189,2)</x:f>
        <x:v>18.9</x:v>
      </x:c>
      <x:c r="Q189" s="37" t="n">
        <x:f>ROUND(P189*J189,2)</x:f>
        <x:v>1.89</x:v>
      </x:c>
      <x:c r="R189" s="37" t="n">
        <x:f>ROUND(P189-Q189,2)</x:f>
        <x:v>17.01</x:v>
      </x:c>
      <x:c r="S189" s="37" t="n">
        <x:v>8.55</x:v>
      </x:c>
      <x:c r="T189" s="37" t="n">
        <x:f>ROUND(R189-S189,2)</x:f>
        <x:v>8.46</x:v>
      </x:c>
    </x:row>
    <x:row r="190">
      <x:c r="A190" s="35" t="str">
        <x:v>CAF-0189</x:v>
      </x:c>
      <x:c r="B190" s="36" t="n">
        <x:v>46213</x:v>
      </x:c>
      <x:c r="C190" s="35" t="str">
        <x:v>10:48</x:v>
      </x:c>
      <x:c r="D190" s="35" t="str">
        <x:v>Totem</x:v>
      </x:c>
      <x:c r="E190" s="35" t="str">
        <x:v>Sanduíche natural</x:v>
      </x:c>
      <x:c r="F190" s="35" t="str">
        <x:v>Comidas</x:v>
      </x:c>
      <x:c r="G190" s="35" t="str">
        <x:v>Único</x:v>
      </x:c>
      <x:c r="H190" s="35" t="n">
        <x:v>4</x:v>
      </x:c>
      <x:c r="I190" s="37" t="n">
        <x:v>18.9</x:v>
      </x:c>
      <x:c r="J190" s="38" t="n">
        <x:v>0</x:v>
      </x:c>
      <x:c r="K190" s="35" t="str">
        <x:v>Pix</x:v>
      </x:c>
      <x:c r="L190" s="35" t="str">
        <x:v>Recorrente</x:v>
      </x:c>
      <x:c r="M190" s="35" t="str">
        <x:v>Cancelado</x:v>
      </x:c>
      <x:c r="N190" s="35" t="n">
        <x:v>5</x:v>
      </x:c>
      <x:c r="O190" s="35"/>
      <x:c r="P190" s="37" t="n">
        <x:f>ROUND(H190*I190,2)</x:f>
        <x:v>75.6</x:v>
      </x:c>
      <x:c r="Q190" s="37" t="n">
        <x:f>ROUND(P190*J190,2)</x:f>
        <x:v>0</x:v>
      </x:c>
      <x:c r="R190" s="37" t="n">
        <x:f>ROUND(P190-Q190,2)</x:f>
        <x:v>75.6</x:v>
      </x:c>
      <x:c r="S190" s="37" t="n">
        <x:v>27.02</x:v>
      </x:c>
      <x:c r="T190" s="37" t="n">
        <x:f>ROUND(R190-S190,2)</x:f>
        <x:v>48.58</x:v>
      </x:c>
    </x:row>
    <x:row r="191">
      <x:c r="A191" s="35" t="str">
        <x:v>CAF-0190</x:v>
      </x:c>
      <x:c r="B191" s="36" t="n">
        <x:v>46224</x:v>
      </x:c>
      <x:c r="C191" s="35" t="str">
        <x:v>09:29</x:v>
      </x:c>
      <x:c r="D191" s="35" t="str">
        <x:v>Aplicativo</x:v>
      </x:c>
      <x:c r="E191" s="35" t="str">
        <x:v>Latte</x:v>
      </x:c>
      <x:c r="F191" s="35" t="str">
        <x:v>Cafés</x:v>
      </x:c>
      <x:c r="G191" s="35" t="str">
        <x:v>Médio</x:v>
      </x:c>
      <x:c r="H191" s="35" t="n">
        <x:v>3</x:v>
      </x:c>
      <x:c r="I191" s="37" t="n">
        <x:v>13.9</x:v>
      </x:c>
      <x:c r="J191" s="38" t="n">
        <x:v>0.05</x:v>
      </x:c>
      <x:c r="K191" s="35" t="str">
        <x:v>Pix</x:v>
      </x:c>
      <x:c r="L191" s="35" t="str">
        <x:v>Programa de fidelidade</x:v>
      </x:c>
      <x:c r="M191" s="35" t="str">
        <x:v>Concluído</x:v>
      </x:c>
      <x:c r="N191" s="35" t="n">
        <x:v>8</x:v>
      </x:c>
      <x:c r="O191" s="35" t="n">
        <x:v>3</x:v>
      </x:c>
      <x:c r="P191" s="37" t="n">
        <x:f>ROUND(H191*I191,2)</x:f>
        <x:v>41.7</x:v>
      </x:c>
      <x:c r="Q191" s="37" t="n">
        <x:f>ROUND(P191*J191,2)</x:f>
        <x:v>2.09</x:v>
      </x:c>
      <x:c r="R191" s="37" t="n">
        <x:f>ROUND(P191-Q191,2)</x:f>
        <x:v>39.61</x:v>
      </x:c>
      <x:c r="S191" s="37" t="n">
        <x:v>19.52</x:v>
      </x:c>
      <x:c r="T191" s="37" t="n">
        <x:f>ROUND(R191-S191,2)</x:f>
        <x:v>20.09</x:v>
      </x:c>
    </x:row>
    <x:row r="192">
      <x:c r="A192" s="35" t="str">
        <x:v>CAF-0191</x:v>
      </x:c>
      <x:c r="B192" s="36" t="n">
        <x:v>46232</x:v>
      </x:c>
      <x:c r="C192" s="35" t="str">
        <x:v>09:18</x:v>
      </x:c>
      <x:c r="D192" s="35" t="str">
        <x:v>Delivery</x:v>
      </x:c>
      <x:c r="E192" s="35" t="str">
        <x:v>Pão de queijo</x:v>
      </x:c>
      <x:c r="F192" s="35" t="str">
        <x:v>Comidas</x:v>
      </x:c>
      <x:c r="G192" s="35" t="str">
        <x:v>Porção</x:v>
      </x:c>
      <x:c r="H192" s="35" t="n">
        <x:v>2</x:v>
      </x:c>
      <x:c r="I192" s="37" t="n">
        <x:v>8.5</x:v>
      </x:c>
      <x:c r="J192" s="38" t="n">
        <x:v>0</x:v>
      </x:c>
      <x:c r="K192" s="35" t="str">
        <x:v>Dinheiro</x:v>
      </x:c>
      <x:c r="L192" s="35" t="str">
        <x:v>Programa de fidelidade</x:v>
      </x:c>
      <x:c r="M192" s="35" t="str">
        <x:v>Concluído</x:v>
      </x:c>
      <x:c r="N192" s="35" t="n">
        <x:v>13</x:v>
      </x:c>
      <x:c r="O192" s="35" t="n">
        <x:v>3</x:v>
      </x:c>
      <x:c r="P192" s="37" t="n">
        <x:f>ROUND(H192*I192,2)</x:f>
        <x:v>17</x:v>
      </x:c>
      <x:c r="Q192" s="37" t="n">
        <x:f>ROUND(P192*J192,2)</x:f>
        <x:v>0</x:v>
      </x:c>
      <x:c r="R192" s="37" t="n">
        <x:f>ROUND(P192-Q192,2)</x:f>
        <x:v>17</x:v>
      </x:c>
      <x:c r="S192" s="37" t="n">
        <x:v>6.51</x:v>
      </x:c>
      <x:c r="T192" s="37" t="n">
        <x:f>ROUND(R192-S192,2)</x:f>
        <x:v>10.49</x:v>
      </x:c>
    </x:row>
    <x:row r="193">
      <x:c r="A193" s="35" t="str">
        <x:v>CAF-0192</x:v>
      </x:c>
      <x:c r="B193" s="36" t="n">
        <x:v>46233</x:v>
      </x:c>
      <x:c r="C193" s="35" t="str">
        <x:v>14:30</x:v>
      </x:c>
      <x:c r="D193" s="35" t="str">
        <x:v>Delivery</x:v>
      </x:c>
      <x:c r="E193" s="35" t="str">
        <x:v>Bolo de chocolate</x:v>
      </x:c>
      <x:c r="F193" s="35" t="str">
        <x:v>Comidas</x:v>
      </x:c>
      <x:c r="G193" s="35" t="str">
        <x:v>Fatia</x:v>
      </x:c>
      <x:c r="H193" s="35" t="n">
        <x:v>3</x:v>
      </x:c>
      <x:c r="I193" s="37" t="n">
        <x:v>10.9</x:v>
      </x:c>
      <x:c r="J193" s="38" t="n">
        <x:v>0</x:v>
      </x:c>
      <x:c r="K193" s="35" t="str">
        <x:v>Pix</x:v>
      </x:c>
      <x:c r="L193" s="35" t="str">
        <x:v>Programa de fidelidade</x:v>
      </x:c>
      <x:c r="M193" s="35" t="str">
        <x:v>Concluído</x:v>
      </x:c>
      <x:c r="N193" s="35" t="n">
        <x:v>14</x:v>
      </x:c>
      <x:c r="O193" s="35" t="n">
        <x:v>4</x:v>
      </x:c>
      <x:c r="P193" s="37" t="n">
        <x:f>ROUND(H193*I193,2)</x:f>
        <x:v>32.7</x:v>
      </x:c>
      <x:c r="Q193" s="37" t="n">
        <x:f>ROUND(P193*J193,2)</x:f>
        <x:v>0</x:v>
      </x:c>
      <x:c r="R193" s="37" t="n">
        <x:f>ROUND(P193-Q193,2)</x:f>
        <x:v>32.7</x:v>
      </x:c>
      <x:c r="S193" s="37" t="n">
        <x:v>13.94</x:v>
      </x:c>
      <x:c r="T193" s="37" t="n">
        <x:f>ROUND(R193-S193,2)</x:f>
        <x:v>18.76</x:v>
      </x:c>
    </x:row>
    <x:row r="194">
      <x:c r="A194" s="35" t="str">
        <x:v>CAF-0193</x:v>
      </x:c>
      <x:c r="B194" s="36" t="n">
        <x:v>46219</x:v>
      </x:c>
      <x:c r="C194" s="35" t="str">
        <x:v>11:36</x:v>
      </x:c>
      <x:c r="D194" s="35" t="str">
        <x:v>Aplicativo</x:v>
      </x:c>
      <x:c r="E194" s="35" t="str">
        <x:v>Bolo de chocolate</x:v>
      </x:c>
      <x:c r="F194" s="35" t="str">
        <x:v>Comidas</x:v>
      </x:c>
      <x:c r="G194" s="35" t="str">
        <x:v>Fatia</x:v>
      </x:c>
      <x:c r="H194" s="35" t="n">
        <x:v>1</x:v>
      </x:c>
      <x:c r="I194" s="37" t="n">
        <x:v>10.9</x:v>
      </x:c>
      <x:c r="J194" s="38" t="n">
        <x:v>0</x:v>
      </x:c>
      <x:c r="K194" s="35" t="str">
        <x:v>Dinheiro</x:v>
      </x:c>
      <x:c r="L194" s="35" t="str">
        <x:v>Novo</x:v>
      </x:c>
      <x:c r="M194" s="35" t="str">
        <x:v>Concluído</x:v>
      </x:c>
      <x:c r="N194" s="35" t="n">
        <x:v>4</x:v>
      </x:c>
      <x:c r="O194" s="35" t="n">
        <x:v>3</x:v>
      </x:c>
      <x:c r="P194" s="37" t="n">
        <x:f>ROUND(H194*I194,2)</x:f>
        <x:v>10.9</x:v>
      </x:c>
      <x:c r="Q194" s="37" t="n">
        <x:f>ROUND(P194*J194,2)</x:f>
        <x:v>0</x:v>
      </x:c>
      <x:c r="R194" s="37" t="n">
        <x:f>ROUND(P194-Q194,2)</x:f>
        <x:v>10.9</x:v>
      </x:c>
      <x:c r="S194" s="37" t="n">
        <x:v>3.87</x:v>
      </x:c>
      <x:c r="T194" s="37" t="n">
        <x:f>ROUND(R194-S194,2)</x:f>
        <x:v>7.03</x:v>
      </x:c>
    </x:row>
    <x:row r="195">
      <x:c r="A195" s="35" t="str">
        <x:v>CAF-0194</x:v>
      </x:c>
      <x:c r="B195" s="36" t="n">
        <x:v>46222</x:v>
      </x:c>
      <x:c r="C195" s="35" t="str">
        <x:v>16:54</x:v>
      </x:c>
      <x:c r="D195" s="35" t="str">
        <x:v>Totem</x:v>
      </x:c>
      <x:c r="E195" s="35" t="str">
        <x:v>Croissant</x:v>
      </x:c>
      <x:c r="F195" s="35" t="str">
        <x:v>Comidas</x:v>
      </x:c>
      <x:c r="G195" s="35" t="str">
        <x:v>Único</x:v>
      </x:c>
      <x:c r="H195" s="35" t="n">
        <x:v>3</x:v>
      </x:c>
      <x:c r="I195" s="37" t="n">
        <x:v>12.5</x:v>
      </x:c>
      <x:c r="J195" s="38" t="n">
        <x:v>0</x:v>
      </x:c>
      <x:c r="K195" s="35" t="str">
        <x:v>Cartão de crédito</x:v>
      </x:c>
      <x:c r="L195" s="35" t="str">
        <x:v>Programa de fidelidade</x:v>
      </x:c>
      <x:c r="M195" s="35" t="str">
        <x:v>Concluído</x:v>
      </x:c>
      <x:c r="N195" s="35" t="n">
        <x:v>15</x:v>
      </x:c>
      <x:c r="O195" s="35" t="n">
        <x:v>3</x:v>
      </x:c>
      <x:c r="P195" s="37" t="n">
        <x:f>ROUND(H195*I195,2)</x:f>
        <x:v>37.5</x:v>
      </x:c>
      <x:c r="Q195" s="37" t="n">
        <x:f>ROUND(P195*J195,2)</x:f>
        <x:v>0</x:v>
      </x:c>
      <x:c r="R195" s="37" t="n">
        <x:f>ROUND(P195-Q195,2)</x:f>
        <x:v>37.5</x:v>
      </x:c>
      <x:c r="S195" s="37" t="n">
        <x:v>15.13</x:v>
      </x:c>
      <x:c r="T195" s="37" t="n">
        <x:f>ROUND(R195-S195,2)</x:f>
        <x:v>22.37</x:v>
      </x:c>
    </x:row>
    <x:row r="196">
      <x:c r="A196" s="35" t="str">
        <x:v>CAF-0195</x:v>
      </x:c>
      <x:c r="B196" s="36" t="n">
        <x:v>46233</x:v>
      </x:c>
      <x:c r="C196" s="35" t="str">
        <x:v>09:50</x:v>
      </x:c>
      <x:c r="D196" s="35" t="str">
        <x:v>Aplicativo</x:v>
      </x:c>
      <x:c r="E196" s="35" t="str">
        <x:v>Cookie</x:v>
      </x:c>
      <x:c r="F196" s="35" t="str">
        <x:v>Comidas</x:v>
      </x:c>
      <x:c r="G196" s="35" t="str">
        <x:v>Único</x:v>
      </x:c>
      <x:c r="H196" s="35" t="n">
        <x:v>2</x:v>
      </x:c>
      <x:c r="I196" s="37" t="n">
        <x:v>7.5</x:v>
      </x:c>
      <x:c r="J196" s="38" t="n">
        <x:v>0</x:v>
      </x:c>
      <x:c r="K196" s="35" t="str">
        <x:v>Cartão de crédito</x:v>
      </x:c>
      <x:c r="L196" s="35" t="str">
        <x:v>Programa de fidelidade</x:v>
      </x:c>
      <x:c r="M196" s="35" t="str">
        <x:v>Concluído</x:v>
      </x:c>
      <x:c r="N196" s="35" t="n">
        <x:v>9</x:v>
      </x:c>
      <x:c r="O196" s="35" t="n">
        <x:v>5</x:v>
      </x:c>
      <x:c r="P196" s="37" t="n">
        <x:f>ROUND(H196*I196,2)</x:f>
        <x:v>15</x:v>
      </x:c>
      <x:c r="Q196" s="37" t="n">
        <x:f>ROUND(P196*J196,2)</x:f>
        <x:v>0</x:v>
      </x:c>
      <x:c r="R196" s="37" t="n">
        <x:f>ROUND(P196-Q196,2)</x:f>
        <x:v>15</x:v>
      </x:c>
      <x:c r="S196" s="37" t="n">
        <x:v>6.98</x:v>
      </x:c>
      <x:c r="T196" s="37" t="n">
        <x:f>ROUND(R196-S196,2)</x:f>
        <x:v>8.02</x:v>
      </x:c>
    </x:row>
    <x:row r="197">
      <x:c r="A197" s="35" t="str">
        <x:v>CAF-0196</x:v>
      </x:c>
      <x:c r="B197" s="36" t="n">
        <x:v>46223</x:v>
      </x:c>
      <x:c r="C197" s="35" t="str">
        <x:v>12:57</x:v>
      </x:c>
      <x:c r="D197" s="35" t="str">
        <x:v>Delivery</x:v>
      </x:c>
      <x:c r="E197" s="35" t="str">
        <x:v>Bolo de chocolate</x:v>
      </x:c>
      <x:c r="F197" s="35" t="str">
        <x:v>Comidas</x:v>
      </x:c>
      <x:c r="G197" s="35" t="str">
        <x:v>Fatia</x:v>
      </x:c>
      <x:c r="H197" s="35" t="n">
        <x:v>3</x:v>
      </x:c>
      <x:c r="I197" s="37" t="n">
        <x:v>10.9</x:v>
      </x:c>
      <x:c r="J197" s="38" t="n">
        <x:v>0</x:v>
      </x:c>
      <x:c r="K197" s="35" t="str">
        <x:v>Cartão de crédito</x:v>
      </x:c>
      <x:c r="L197" s="35" t="str">
        <x:v>Recorrente</x:v>
      </x:c>
      <x:c r="M197" s="35" t="str">
        <x:v>Concluído</x:v>
      </x:c>
      <x:c r="N197" s="35" t="n">
        <x:v>12</x:v>
      </x:c>
      <x:c r="O197" s="35" t="n">
        <x:v>3</x:v>
      </x:c>
      <x:c r="P197" s="37" t="n">
        <x:f>ROUND(H197*I197,2)</x:f>
        <x:v>32.7</x:v>
      </x:c>
      <x:c r="Q197" s="37" t="n">
        <x:f>ROUND(P197*J197,2)</x:f>
        <x:v>0</x:v>
      </x:c>
      <x:c r="R197" s="37" t="n">
        <x:f>ROUND(P197-Q197,2)</x:f>
        <x:v>32.7</x:v>
      </x:c>
      <x:c r="S197" s="37" t="n">
        <x:v>14.57</x:v>
      </x:c>
      <x:c r="T197" s="37" t="n">
        <x:f>ROUND(R197-S197,2)</x:f>
        <x:v>18.13</x:v>
      </x:c>
    </x:row>
    <x:row r="198">
      <x:c r="A198" s="35" t="str">
        <x:v>CAF-0197</x:v>
      </x:c>
      <x:c r="B198" s="36" t="n">
        <x:v>46211</x:v>
      </x:c>
      <x:c r="C198" s="35" t="str">
        <x:v>13:24</x:v>
      </x:c>
      <x:c r="D198" s="35" t="str">
        <x:v>Totem</x:v>
      </x:c>
      <x:c r="E198" s="35" t="str">
        <x:v>Brownie</x:v>
      </x:c>
      <x:c r="F198" s="35" t="str">
        <x:v>Comidas</x:v>
      </x:c>
      <x:c r="G198" s="35" t="str">
        <x:v>Fatia</x:v>
      </x:c>
      <x:c r="H198" s="35" t="n">
        <x:v>1</x:v>
      </x:c>
      <x:c r="I198" s="37" t="n">
        <x:v>9.5</x:v>
      </x:c>
      <x:c r="J198" s="38" t="n">
        <x:v>0</x:v>
      </x:c>
      <x:c r="K198" s="35" t="str">
        <x:v>Dinheiro</x:v>
      </x:c>
      <x:c r="L198" s="35" t="str">
        <x:v>Programa de fidelidade</x:v>
      </x:c>
      <x:c r="M198" s="35" t="str">
        <x:v>Concluído</x:v>
      </x:c>
      <x:c r="N198" s="35" t="n">
        <x:v>13</x:v>
      </x:c>
      <x:c r="O198" s="35" t="n">
        <x:v>3</x:v>
      </x:c>
      <x:c r="P198" s="37" t="n">
        <x:f>ROUND(H198*I198,2)</x:f>
        <x:v>9.5</x:v>
      </x:c>
      <x:c r="Q198" s="37" t="n">
        <x:f>ROUND(P198*J198,2)</x:f>
        <x:v>0</x:v>
      </x:c>
      <x:c r="R198" s="37" t="n">
        <x:f>ROUND(P198-Q198,2)</x:f>
        <x:v>9.5</x:v>
      </x:c>
      <x:c r="S198" s="37" t="n">
        <x:v>4.21</x:v>
      </x:c>
      <x:c r="T198" s="37" t="n">
        <x:f>ROUND(R198-S198,2)</x:f>
        <x:v>5.29</x:v>
      </x:c>
    </x:row>
    <x:row r="199">
      <x:c r="A199" s="35" t="str">
        <x:v>CAF-0198</x:v>
      </x:c>
      <x:c r="B199" s="36" t="n">
        <x:v>46226</x:v>
      </x:c>
      <x:c r="C199" s="35" t="str">
        <x:v>10:13</x:v>
      </x:c>
      <x:c r="D199" s="35" t="str">
        <x:v>Delivery</x:v>
      </x:c>
      <x:c r="E199" s="35" t="str">
        <x:v>Bolo de chocolate</x:v>
      </x:c>
      <x:c r="F199" s="35" t="str">
        <x:v>Comidas</x:v>
      </x:c>
      <x:c r="G199" s="35" t="str">
        <x:v>Fatia</x:v>
      </x:c>
      <x:c r="H199" s="35" t="n">
        <x:v>1</x:v>
      </x:c>
      <x:c r="I199" s="37" t="n">
        <x:v>10.9</x:v>
      </x:c>
      <x:c r="J199" s="38" t="n">
        <x:v>0.1</x:v>
      </x:c>
      <x:c r="K199" s="35" t="str">
        <x:v>Dinheiro</x:v>
      </x:c>
      <x:c r="L199" s="35" t="str">
        <x:v>Recorrente</x:v>
      </x:c>
      <x:c r="M199" s="35" t="str">
        <x:v>Concluído</x:v>
      </x:c>
      <x:c r="N199" s="35" t="n">
        <x:v>18</x:v>
      </x:c>
      <x:c r="O199" s="35" t="n">
        <x:v>3</x:v>
      </x:c>
      <x:c r="P199" s="37" t="n">
        <x:f>ROUND(H199*I199,2)</x:f>
        <x:v>10.9</x:v>
      </x:c>
      <x:c r="Q199" s="37" t="n">
        <x:f>ROUND(P199*J199,2)</x:f>
        <x:v>1.09</x:v>
      </x:c>
      <x:c r="R199" s="37" t="n">
        <x:f>ROUND(P199-Q199,2)</x:f>
        <x:v>9.81</x:v>
      </x:c>
      <x:c r="S199" s="37" t="n">
        <x:v>4.08</x:v>
      </x:c>
      <x:c r="T199" s="37" t="n">
        <x:f>ROUND(R199-S199,2)</x:f>
        <x:v>5.73</x:v>
      </x:c>
    </x:row>
    <x:row r="200">
      <x:c r="A200" s="35" t="str">
        <x:v>CAF-0199</x:v>
      </x:c>
      <x:c r="B200" s="36" t="n">
        <x:v>46215</x:v>
      </x:c>
      <x:c r="C200" s="35" t="str">
        <x:v>08:57</x:v>
      </x:c>
      <x:c r="D200" s="35" t="str">
        <x:v>Delivery</x:v>
      </x:c>
      <x:c r="E200" s="35" t="str">
        <x:v>Expresso</x:v>
      </x:c>
      <x:c r="F200" s="35" t="str">
        <x:v>Cafés</x:v>
      </x:c>
      <x:c r="G200" s="35" t="str">
        <x:v>Único</x:v>
      </x:c>
      <x:c r="H200" s="35" t="n">
        <x:v>1</x:v>
      </x:c>
      <x:c r="I200" s="37" t="n">
        <x:v>6.5</x:v>
      </x:c>
      <x:c r="J200" s="38" t="n">
        <x:v>0.05</x:v>
      </x:c>
      <x:c r="K200" s="35" t="str">
        <x:v>Cartão de débito</x:v>
      </x:c>
      <x:c r="L200" s="35" t="str">
        <x:v>Recorrente</x:v>
      </x:c>
      <x:c r="M200" s="35" t="str">
        <x:v>Cancelado</x:v>
      </x:c>
      <x:c r="N200" s="35" t="n">
        <x:v>11</x:v>
      </x:c>
      <x:c r="O200" s="35"/>
      <x:c r="P200" s="37" t="n">
        <x:f>ROUND(H200*I200,2)</x:f>
        <x:v>6.5</x:v>
      </x:c>
      <x:c r="Q200" s="37" t="n">
        <x:f>ROUND(P200*J200,2)</x:f>
        <x:v>0.33</x:v>
      </x:c>
      <x:c r="R200" s="37" t="n">
        <x:f>ROUND(P200-Q200,2)</x:f>
        <x:v>6.17</x:v>
      </x:c>
      <x:c r="S200" s="37" t="n">
        <x:v>2.48</x:v>
      </x:c>
      <x:c r="T200" s="37" t="n">
        <x:f>ROUND(R200-S200,2)</x:f>
        <x:v>3.69</x:v>
      </x:c>
    </x:row>
    <x:row r="201">
      <x:c r="A201" s="35" t="str">
        <x:v>CAF-0200</x:v>
      </x:c>
      <x:c r="B201" s="36" t="n">
        <x:v>46227</x:v>
      </x:c>
      <x:c r="C201" s="35" t="str">
        <x:v>09:30</x:v>
      </x:c>
      <x:c r="D201" s="35" t="str">
        <x:v>Balcão</x:v>
      </x:c>
      <x:c r="E201" s="35" t="str">
        <x:v>Mocha</x:v>
      </x:c>
      <x:c r="F201" s="35" t="str">
        <x:v>Cafés</x:v>
      </x:c>
      <x:c r="G201" s="35" t="str">
        <x:v>Médio</x:v>
      </x:c>
      <x:c r="H201" s="35" t="n">
        <x:v>1</x:v>
      </x:c>
      <x:c r="I201" s="37" t="n">
        <x:v>15.5</x:v>
      </x:c>
      <x:c r="J201" s="38" t="n">
        <x:v>0</x:v>
      </x:c>
      <x:c r="K201" s="35" t="str">
        <x:v>Cartão de débito</x:v>
      </x:c>
      <x:c r="L201" s="35" t="str">
        <x:v>Programa de fidelidade</x:v>
      </x:c>
      <x:c r="M201" s="35" t="str">
        <x:v>Concluído</x:v>
      </x:c>
      <x:c r="N201" s="35" t="n">
        <x:v>10</x:v>
      </x:c>
      <x:c r="O201" s="35" t="n">
        <x:v>3</x:v>
      </x:c>
      <x:c r="P201" s="37" t="n">
        <x:f>ROUND(H201*I201,2)</x:f>
        <x:v>15.5</x:v>
      </x:c>
      <x:c r="Q201" s="37" t="n">
        <x:f>ROUND(P201*J201,2)</x:f>
        <x:v>0</x:v>
      </x:c>
      <x:c r="R201" s="37" t="n">
        <x:f>ROUND(P201-Q201,2)</x:f>
        <x:v>15.5</x:v>
      </x:c>
      <x:c r="S201" s="37" t="n">
        <x:v>6.48</x:v>
      </x:c>
      <x:c r="T201" s="37" t="n">
        <x:f>ROUND(R201-S201,2)</x:f>
        <x:v>9.02</x:v>
      </x:c>
    </x:row>
    <x:row r="202">
      <x:c r="A202" s="35" t="str">
        <x:v>CAF-0201</x:v>
      </x:c>
      <x:c r="B202" s="36" t="n">
        <x:v>46216</x:v>
      </x:c>
      <x:c r="C202" s="35" t="str">
        <x:v>07:36</x:v>
      </x:c>
      <x:c r="D202" s="35" t="str">
        <x:v>Aplicativo</x:v>
      </x:c>
      <x:c r="E202" s="35" t="str">
        <x:v>Bolo de chocolate</x:v>
      </x:c>
      <x:c r="F202" s="35" t="str">
        <x:v>Comidas</x:v>
      </x:c>
      <x:c r="G202" s="35" t="str">
        <x:v>Fatia</x:v>
      </x:c>
      <x:c r="H202" s="35" t="n">
        <x:v>3</x:v>
      </x:c>
      <x:c r="I202" s="37" t="n">
        <x:v>10.9</x:v>
      </x:c>
      <x:c r="J202" s="38" t="n">
        <x:v>0</x:v>
      </x:c>
      <x:c r="K202" s="35" t="str">
        <x:v>Pix</x:v>
      </x:c>
      <x:c r="L202" s="35" t="str">
        <x:v>Programa de fidelidade</x:v>
      </x:c>
      <x:c r="M202" s="35" t="str">
        <x:v>Cancelado</x:v>
      </x:c>
      <x:c r="N202" s="35" t="n">
        <x:v>14</x:v>
      </x:c>
      <x:c r="O202" s="35"/>
      <x:c r="P202" s="37" t="n">
        <x:f>ROUND(H202*I202,2)</x:f>
        <x:v>32.7</x:v>
      </x:c>
      <x:c r="Q202" s="37" t="n">
        <x:f>ROUND(P202*J202,2)</x:f>
        <x:v>0</x:v>
      </x:c>
      <x:c r="R202" s="37" t="n">
        <x:f>ROUND(P202-Q202,2)</x:f>
        <x:v>32.7</x:v>
      </x:c>
      <x:c r="S202" s="37" t="n">
        <x:v>15.14</x:v>
      </x:c>
      <x:c r="T202" s="37" t="n">
        <x:f>ROUND(R202-S202,2)</x:f>
        <x:v>17.56</x:v>
      </x:c>
    </x:row>
    <x:row r="203">
      <x:c r="A203" s="35" t="str">
        <x:v>CAF-0202</x:v>
      </x:c>
      <x:c r="B203" s="36" t="n">
        <x:v>46205</x:v>
      </x:c>
      <x:c r="C203" s="35" t="str">
        <x:v>11:37</x:v>
      </x:c>
      <x:c r="D203" s="35" t="str">
        <x:v>Delivery</x:v>
      </x:c>
      <x:c r="E203" s="35" t="str">
        <x:v>Croissant</x:v>
      </x:c>
      <x:c r="F203" s="35" t="str">
        <x:v>Comidas</x:v>
      </x:c>
      <x:c r="G203" s="35" t="str">
        <x:v>Único</x:v>
      </x:c>
      <x:c r="H203" s="35" t="n">
        <x:v>2</x:v>
      </x:c>
      <x:c r="I203" s="37" t="n">
        <x:v>12.5</x:v>
      </x:c>
      <x:c r="J203" s="38" t="n">
        <x:v>0</x:v>
      </x:c>
      <x:c r="K203" s="35" t="str">
        <x:v>Cartão de crédito</x:v>
      </x:c>
      <x:c r="L203" s="35" t="str">
        <x:v>Programa de fidelidade</x:v>
      </x:c>
      <x:c r="M203" s="35" t="str">
        <x:v>Cancelado</x:v>
      </x:c>
      <x:c r="N203" s="35" t="n">
        <x:v>3</x:v>
      </x:c>
      <x:c r="O203" s="35"/>
      <x:c r="P203" s="37" t="n">
        <x:f>ROUND(H203*I203,2)</x:f>
        <x:v>25</x:v>
      </x:c>
      <x:c r="Q203" s="37" t="n">
        <x:f>ROUND(P203*J203,2)</x:f>
        <x:v>0</x:v>
      </x:c>
      <x:c r="R203" s="37" t="n">
        <x:f>ROUND(P203-Q203,2)</x:f>
        <x:v>25</x:v>
      </x:c>
      <x:c r="S203" s="37" t="n">
        <x:v>8.92</x:v>
      </x:c>
      <x:c r="T203" s="37" t="n">
        <x:f>ROUND(R203-S203,2)</x:f>
        <x:v>16.08</x:v>
      </x:c>
    </x:row>
    <x:row r="204">
      <x:c r="A204" s="35" t="str">
        <x:v>CAF-0203</x:v>
      </x:c>
      <x:c r="B204" s="36" t="n">
        <x:v>46232</x:v>
      </x:c>
      <x:c r="C204" s="35" t="str">
        <x:v>08:57</x:v>
      </x:c>
      <x:c r="D204" s="35" t="str">
        <x:v>Aplicativo</x:v>
      </x:c>
      <x:c r="E204" s="35" t="str">
        <x:v>Expresso</x:v>
      </x:c>
      <x:c r="F204" s="35" t="str">
        <x:v>Cafés</x:v>
      </x:c>
      <x:c r="G204" s="35" t="str">
        <x:v>Único</x:v>
      </x:c>
      <x:c r="H204" s="35" t="n">
        <x:v>4</x:v>
      </x:c>
      <x:c r="I204" s="37" t="n">
        <x:v>6.5</x:v>
      </x:c>
      <x:c r="J204" s="38" t="n">
        <x:v>0</x:v>
      </x:c>
      <x:c r="K204" s="35" t="str">
        <x:v>Dinheiro</x:v>
      </x:c>
      <x:c r="L204" s="35" t="str">
        <x:v>Recorrente</x:v>
      </x:c>
      <x:c r="M204" s="35" t="str">
        <x:v>Concluído</x:v>
      </x:c>
      <x:c r="N204" s="35" t="n">
        <x:v>20</x:v>
      </x:c>
      <x:c r="O204" s="35" t="n">
        <x:v>4</x:v>
      </x:c>
      <x:c r="P204" s="37" t="n">
        <x:f>ROUND(H204*I204,2)</x:f>
        <x:v>26</x:v>
      </x:c>
      <x:c r="Q204" s="37" t="n">
        <x:f>ROUND(P204*J204,2)</x:f>
        <x:v>0</x:v>
      </x:c>
      <x:c r="R204" s="37" t="n">
        <x:f>ROUND(P204-Q204,2)</x:f>
        <x:v>26</x:v>
      </x:c>
      <x:c r="S204" s="37" t="n">
        <x:v>11.72</x:v>
      </x:c>
      <x:c r="T204" s="37" t="n">
        <x:f>ROUND(R204-S204,2)</x:f>
        <x:v>14.28</x:v>
      </x:c>
    </x:row>
    <x:row r="205">
      <x:c r="A205" s="35" t="str">
        <x:v>CAF-0204</x:v>
      </x:c>
      <x:c r="B205" s="36" t="n">
        <x:v>46231</x:v>
      </x:c>
      <x:c r="C205" s="35" t="str">
        <x:v>09:55</x:v>
      </x:c>
      <x:c r="D205" s="35" t="str">
        <x:v>Delivery</x:v>
      </x:c>
      <x:c r="E205" s="35" t="str">
        <x:v>Pão de queijo</x:v>
      </x:c>
      <x:c r="F205" s="35" t="str">
        <x:v>Comidas</x:v>
      </x:c>
      <x:c r="G205" s="35" t="str">
        <x:v>Porção</x:v>
      </x:c>
      <x:c r="H205" s="35" t="n">
        <x:v>4</x:v>
      </x:c>
      <x:c r="I205" s="37" t="n">
        <x:v>8.5</x:v>
      </x:c>
      <x:c r="J205" s="38" t="n">
        <x:v>0</x:v>
      </x:c>
      <x:c r="K205" s="35" t="str">
        <x:v>Pix</x:v>
      </x:c>
      <x:c r="L205" s="35" t="str">
        <x:v>Recorrente</x:v>
      </x:c>
      <x:c r="M205" s="35" t="str">
        <x:v>Concluído</x:v>
      </x:c>
      <x:c r="N205" s="35" t="n">
        <x:v>17</x:v>
      </x:c>
      <x:c r="O205" s="35" t="n">
        <x:v>5</x:v>
      </x:c>
      <x:c r="P205" s="37" t="n">
        <x:f>ROUND(H205*I205,2)</x:f>
        <x:v>34</x:v>
      </x:c>
      <x:c r="Q205" s="37" t="n">
        <x:f>ROUND(P205*J205,2)</x:f>
        <x:v>0</x:v>
      </x:c>
      <x:c r="R205" s="37" t="n">
        <x:f>ROUND(P205-Q205,2)</x:f>
        <x:v>34</x:v>
      </x:c>
      <x:c r="S205" s="37" t="n">
        <x:v>15.28</x:v>
      </x:c>
      <x:c r="T205" s="37" t="n">
        <x:f>ROUND(R205-S205,2)</x:f>
        <x:v>18.72</x:v>
      </x:c>
    </x:row>
    <x:row r="206">
      <x:c r="A206" s="35" t="str">
        <x:v>CAF-0205</x:v>
      </x:c>
      <x:c r="B206" s="36" t="n">
        <x:v>46208</x:v>
      </x:c>
      <x:c r="C206" s="35" t="str">
        <x:v>09:57</x:v>
      </x:c>
      <x:c r="D206" s="35" t="str">
        <x:v>Delivery</x:v>
      </x:c>
      <x:c r="E206" s="35" t="str">
        <x:v>Suco natural</x:v>
      </x:c>
      <x:c r="F206" s="35" t="str">
        <x:v>Bebidas frias</x:v>
      </x:c>
      <x:c r="G206" s="35" t="str">
        <x:v>Grande</x:v>
      </x:c>
      <x:c r="H206" s="35" t="n">
        <x:v>4</x:v>
      </x:c>
      <x:c r="I206" s="37" t="n">
        <x:v>11.9</x:v>
      </x:c>
      <x:c r="J206" s="38" t="n">
        <x:v>0</x:v>
      </x:c>
      <x:c r="K206" s="35" t="str">
        <x:v>Dinheiro</x:v>
      </x:c>
      <x:c r="L206" s="35" t="str">
        <x:v>Novo</x:v>
      </x:c>
      <x:c r="M206" s="35" t="str">
        <x:v>Concluído</x:v>
      </x:c>
      <x:c r="N206" s="35" t="n">
        <x:v>19</x:v>
      </x:c>
      <x:c r="O206" s="35" t="n">
        <x:v>5</x:v>
      </x:c>
      <x:c r="P206" s="37" t="n">
        <x:f>ROUND(H206*I206,2)</x:f>
        <x:v>47.6</x:v>
      </x:c>
      <x:c r="Q206" s="37" t="n">
        <x:f>ROUND(P206*J206,2)</x:f>
        <x:v>0</x:v>
      </x:c>
      <x:c r="R206" s="37" t="n">
        <x:f>ROUND(P206-Q206,2)</x:f>
        <x:v>47.6</x:v>
      </x:c>
      <x:c r="S206" s="37" t="n">
        <x:v>18.76</x:v>
      </x:c>
      <x:c r="T206" s="37" t="n">
        <x:f>ROUND(R206-S206,2)</x:f>
        <x:v>28.84</x:v>
      </x:c>
    </x:row>
    <x:row r="207">
      <x:c r="A207" s="35" t="str">
        <x:v>CAF-0206</x:v>
      </x:c>
      <x:c r="B207" s="36" t="n">
        <x:v>46213</x:v>
      </x:c>
      <x:c r="C207" s="35" t="str">
        <x:v>08:30</x:v>
      </x:c>
      <x:c r="D207" s="35" t="str">
        <x:v>Aplicativo</x:v>
      </x:c>
      <x:c r="E207" s="35" t="str">
        <x:v>Chá gelado</x:v>
      </x:c>
      <x:c r="F207" s="35" t="str">
        <x:v>Bebidas frias</x:v>
      </x:c>
      <x:c r="G207" s="35" t="str">
        <x:v>Médio</x:v>
      </x:c>
      <x:c r="H207" s="35" t="n">
        <x:v>3</x:v>
      </x:c>
      <x:c r="I207" s="37" t="n">
        <x:v>9.9</x:v>
      </x:c>
      <x:c r="J207" s="38" t="n">
        <x:v>0</x:v>
      </x:c>
      <x:c r="K207" s="35" t="str">
        <x:v>Cartão de débito</x:v>
      </x:c>
      <x:c r="L207" s="35" t="str">
        <x:v>Recorrente</x:v>
      </x:c>
      <x:c r="M207" s="35" t="str">
        <x:v>Cancelado</x:v>
      </x:c>
      <x:c r="N207" s="35" t="n">
        <x:v>12</x:v>
      </x:c>
      <x:c r="O207" s="35"/>
      <x:c r="P207" s="37" t="n">
        <x:f>ROUND(H207*I207,2)</x:f>
        <x:v>29.7</x:v>
      </x:c>
      <x:c r="Q207" s="37" t="n">
        <x:f>ROUND(P207*J207,2)</x:f>
        <x:v>0</x:v>
      </x:c>
      <x:c r="R207" s="37" t="n">
        <x:f>ROUND(P207-Q207,2)</x:f>
        <x:v>29.7</x:v>
      </x:c>
      <x:c r="S207" s="37" t="n">
        <x:v>11.75</x:v>
      </x:c>
      <x:c r="T207" s="37" t="n">
        <x:f>ROUND(R207-S207,2)</x:f>
        <x:v>17.95</x:v>
      </x:c>
    </x:row>
    <x:row r="208">
      <x:c r="A208" s="35" t="str">
        <x:v>CAF-0207</x:v>
      </x:c>
      <x:c r="B208" s="36" t="n">
        <x:v>46233</x:v>
      </x:c>
      <x:c r="C208" s="35" t="str">
        <x:v>08:50</x:v>
      </x:c>
      <x:c r="D208" s="35" t="str">
        <x:v>Aplicativo</x:v>
      </x:c>
      <x:c r="E208" s="35" t="str">
        <x:v>Croissant</x:v>
      </x:c>
      <x:c r="F208" s="35" t="str">
        <x:v>Comidas</x:v>
      </x:c>
      <x:c r="G208" s="35" t="str">
        <x:v>Único</x:v>
      </x:c>
      <x:c r="H208" s="35" t="n">
        <x:v>2</x:v>
      </x:c>
      <x:c r="I208" s="37" t="n">
        <x:v>12.5</x:v>
      </x:c>
      <x:c r="J208" s="38" t="n">
        <x:v>0.1</x:v>
      </x:c>
      <x:c r="K208" s="35" t="str">
        <x:v>Cartão de crédito</x:v>
      </x:c>
      <x:c r="L208" s="35" t="str">
        <x:v>Novo</x:v>
      </x:c>
      <x:c r="M208" s="35" t="str">
        <x:v>Cancelado</x:v>
      </x:c>
      <x:c r="N208" s="35" t="n">
        <x:v>4</x:v>
      </x:c>
      <x:c r="O208" s="35"/>
      <x:c r="P208" s="37" t="n">
        <x:f>ROUND(H208*I208,2)</x:f>
        <x:v>25</x:v>
      </x:c>
      <x:c r="Q208" s="37" t="n">
        <x:f>ROUND(P208*J208,2)</x:f>
        <x:v>2.5</x:v>
      </x:c>
      <x:c r="R208" s="37" t="n">
        <x:f>ROUND(P208-Q208,2)</x:f>
        <x:v>22.5</x:v>
      </x:c>
      <x:c r="S208" s="37" t="n">
        <x:v>9.82</x:v>
      </x:c>
      <x:c r="T208" s="37" t="n">
        <x:f>ROUND(R208-S208,2)</x:f>
        <x:v>12.68</x:v>
      </x:c>
    </x:row>
    <x:row r="209">
      <x:c r="A209" s="35" t="str">
        <x:v>CAF-0208</x:v>
      </x:c>
      <x:c r="B209" s="36" t="n">
        <x:v>46218</x:v>
      </x:c>
      <x:c r="C209" s="35" t="str">
        <x:v>12:48</x:v>
      </x:c>
      <x:c r="D209" s="35" t="str">
        <x:v>Delivery</x:v>
      </x:c>
      <x:c r="E209" s="35" t="str">
        <x:v>Sanduíche natural</x:v>
      </x:c>
      <x:c r="F209" s="35" t="str">
        <x:v>Comidas</x:v>
      </x:c>
      <x:c r="G209" s="35" t="str">
        <x:v>Único</x:v>
      </x:c>
      <x:c r="H209" s="35" t="n">
        <x:v>2</x:v>
      </x:c>
      <x:c r="I209" s="37" t="n">
        <x:v>18.9</x:v>
      </x:c>
      <x:c r="J209" s="38" t="n">
        <x:v>0</x:v>
      </x:c>
      <x:c r="K209" s="35" t="str">
        <x:v>Pix</x:v>
      </x:c>
      <x:c r="L209" s="35" t="str">
        <x:v>Novo</x:v>
      </x:c>
      <x:c r="M209" s="35" t="str">
        <x:v>Cancelado</x:v>
      </x:c>
      <x:c r="N209" s="35" t="n">
        <x:v>14</x:v>
      </x:c>
      <x:c r="O209" s="35"/>
      <x:c r="P209" s="37" t="n">
        <x:f>ROUND(H209*I209,2)</x:f>
        <x:v>37.8</x:v>
      </x:c>
      <x:c r="Q209" s="37" t="n">
        <x:f>ROUND(P209*J209,2)</x:f>
        <x:v>0</x:v>
      </x:c>
      <x:c r="R209" s="37" t="n">
        <x:f>ROUND(P209-Q209,2)</x:f>
        <x:v>37.8</x:v>
      </x:c>
      <x:c r="S209" s="37" t="n">
        <x:v>15.31</x:v>
      </x:c>
      <x:c r="T209" s="37" t="n">
        <x:f>ROUND(R209-S209,2)</x:f>
        <x:v>22.49</x:v>
      </x:c>
    </x:row>
    <x:row r="210">
      <x:c r="A210" s="35" t="str">
        <x:v>CAF-0209</x:v>
      </x:c>
      <x:c r="B210" s="36" t="n">
        <x:v>46231</x:v>
      </x:c>
      <x:c r="C210" s="35" t="str">
        <x:v>07:51</x:v>
      </x:c>
      <x:c r="D210" s="35" t="str">
        <x:v>Delivery</x:v>
      </x:c>
      <x:c r="E210" s="35" t="str">
        <x:v>Suco natural</x:v>
      </x:c>
      <x:c r="F210" s="35" t="str">
        <x:v>Bebidas frias</x:v>
      </x:c>
      <x:c r="G210" s="35" t="str">
        <x:v>Grande</x:v>
      </x:c>
      <x:c r="H210" s="35" t="n">
        <x:v>4</x:v>
      </x:c>
      <x:c r="I210" s="37" t="n">
        <x:v>11.9</x:v>
      </x:c>
      <x:c r="J210" s="38" t="n">
        <x:v>0.1</x:v>
      </x:c>
      <x:c r="K210" s="35" t="str">
        <x:v>Cartão de débito</x:v>
      </x:c>
      <x:c r="L210" s="35" t="str">
        <x:v>Recorrente</x:v>
      </x:c>
      <x:c r="M210" s="35" t="str">
        <x:v>Concluído</x:v>
      </x:c>
      <x:c r="N210" s="35" t="n">
        <x:v>6</x:v>
      </x:c>
      <x:c r="O210" s="35" t="n">
        <x:v>3</x:v>
      </x:c>
      <x:c r="P210" s="37" t="n">
        <x:f>ROUND(H210*I210,2)</x:f>
        <x:v>47.6</x:v>
      </x:c>
      <x:c r="Q210" s="37" t="n">
        <x:f>ROUND(P210*J210,2)</x:f>
        <x:v>4.76</x:v>
      </x:c>
      <x:c r="R210" s="37" t="n">
        <x:f>ROUND(P210-Q210,2)</x:f>
        <x:v>42.84</x:v>
      </x:c>
      <x:c r="S210" s="37" t="n">
        <x:v>17.05</x:v>
      </x:c>
      <x:c r="T210" s="37" t="n">
        <x:f>ROUND(R210-S210,2)</x:f>
        <x:v>25.79</x:v>
      </x:c>
    </x:row>
    <x:row r="211">
      <x:c r="A211" s="35" t="str">
        <x:v>CAF-0210</x:v>
      </x:c>
      <x:c r="B211" s="36" t="n">
        <x:v>46206</x:v>
      </x:c>
      <x:c r="C211" s="35" t="str">
        <x:v>14:52</x:v>
      </x:c>
      <x:c r="D211" s="35" t="str">
        <x:v>Balcão</x:v>
      </x:c>
      <x:c r="E211" s="35" t="str">
        <x:v>Mocha</x:v>
      </x:c>
      <x:c r="F211" s="35" t="str">
        <x:v>Cafés</x:v>
      </x:c>
      <x:c r="G211" s="35" t="str">
        <x:v>Médio</x:v>
      </x:c>
      <x:c r="H211" s="35" t="n">
        <x:v>4</x:v>
      </x:c>
      <x:c r="I211" s="37" t="n">
        <x:v>15.5</x:v>
      </x:c>
      <x:c r="J211" s="38" t="n">
        <x:v>0</x:v>
      </x:c>
      <x:c r="K211" s="35" t="str">
        <x:v>Pix</x:v>
      </x:c>
      <x:c r="L211" s="35" t="str">
        <x:v>Recorrente</x:v>
      </x:c>
      <x:c r="M211" s="35" t="str">
        <x:v>Concluído</x:v>
      </x:c>
      <x:c r="N211" s="35" t="n">
        <x:v>9</x:v>
      </x:c>
      <x:c r="O211" s="35" t="n">
        <x:v>4</x:v>
      </x:c>
      <x:c r="P211" s="37" t="n">
        <x:f>ROUND(H211*I211,2)</x:f>
        <x:v>62</x:v>
      </x:c>
      <x:c r="Q211" s="37" t="n">
        <x:f>ROUND(P211*J211,2)</x:f>
        <x:v>0</x:v>
      </x:c>
      <x:c r="R211" s="37" t="n">
        <x:f>ROUND(P211-Q211,2)</x:f>
        <x:v>62</x:v>
      </x:c>
      <x:c r="S211" s="37" t="n">
        <x:v>27.67</x:v>
      </x:c>
      <x:c r="T211" s="37" t="n">
        <x:f>ROUND(R211-S211,2)</x:f>
        <x:v>34.33</x:v>
      </x:c>
    </x:row>
    <x:row r="212">
      <x:c r="A212" s="35" t="str">
        <x:v>CAF-0211</x:v>
      </x:c>
      <x:c r="B212" s="36" t="n">
        <x:v>46218</x:v>
      </x:c>
      <x:c r="C212" s="35" t="str">
        <x:v>17:20</x:v>
      </x:c>
      <x:c r="D212" s="35" t="str">
        <x:v>Balcão</x:v>
      </x:c>
      <x:c r="E212" s="35" t="str">
        <x:v>Latte</x:v>
      </x:c>
      <x:c r="F212" s="35" t="str">
        <x:v>Cafés</x:v>
      </x:c>
      <x:c r="G212" s="35" t="str">
        <x:v>Médio</x:v>
      </x:c>
      <x:c r="H212" s="35" t="n">
        <x:v>2</x:v>
      </x:c>
      <x:c r="I212" s="37" t="n">
        <x:v>13.9</x:v>
      </x:c>
      <x:c r="J212" s="38" t="n">
        <x:v>0.1</x:v>
      </x:c>
      <x:c r="K212" s="35" t="str">
        <x:v>Cartão de crédito</x:v>
      </x:c>
      <x:c r="L212" s="35" t="str">
        <x:v>Novo</x:v>
      </x:c>
      <x:c r="M212" s="35" t="str">
        <x:v>Cancelado</x:v>
      </x:c>
      <x:c r="N212" s="35" t="n">
        <x:v>6</x:v>
      </x:c>
      <x:c r="O212" s="35"/>
      <x:c r="P212" s="37" t="n">
        <x:f>ROUND(H212*I212,2)</x:f>
        <x:v>27.8</x:v>
      </x:c>
      <x:c r="Q212" s="37" t="n">
        <x:f>ROUND(P212*J212,2)</x:f>
        <x:v>2.78</x:v>
      </x:c>
      <x:c r="R212" s="37" t="n">
        <x:f>ROUND(P212-Q212,2)</x:f>
        <x:v>25.02</x:v>
      </x:c>
      <x:c r="S212" s="37" t="n">
        <x:v>12.38</x:v>
      </x:c>
      <x:c r="T212" s="37" t="n">
        <x:f>ROUND(R212-S212,2)</x:f>
        <x:v>12.64</x:v>
      </x:c>
    </x:row>
    <x:row r="213">
      <x:c r="A213" s="35" t="str">
        <x:v>CAF-0212</x:v>
      </x:c>
      <x:c r="B213" s="36" t="n">
        <x:v>46220</x:v>
      </x:c>
      <x:c r="C213" s="35" t="str">
        <x:v>18:36</x:v>
      </x:c>
      <x:c r="D213" s="35" t="str">
        <x:v>Delivery</x:v>
      </x:c>
      <x:c r="E213" s="35" t="str">
        <x:v>Expresso</x:v>
      </x:c>
      <x:c r="F213" s="35" t="str">
        <x:v>Cafés</x:v>
      </x:c>
      <x:c r="G213" s="35" t="str">
        <x:v>Único</x:v>
      </x:c>
      <x:c r="H213" s="35" t="n">
        <x:v>2</x:v>
      </x:c>
      <x:c r="I213" s="37" t="n">
        <x:v>6.5</x:v>
      </x:c>
      <x:c r="J213" s="38" t="n">
        <x:v>0</x:v>
      </x:c>
      <x:c r="K213" s="35" t="str">
        <x:v>Cartão de crédito</x:v>
      </x:c>
      <x:c r="L213" s="35" t="str">
        <x:v>Recorrente</x:v>
      </x:c>
      <x:c r="M213" s="35" t="str">
        <x:v>Concluído</x:v>
      </x:c>
      <x:c r="N213" s="35" t="n">
        <x:v>5</x:v>
      </x:c>
      <x:c r="O213" s="35" t="n">
        <x:v>5</x:v>
      </x:c>
      <x:c r="P213" s="37" t="n">
        <x:f>ROUND(H213*I213,2)</x:f>
        <x:v>13</x:v>
      </x:c>
      <x:c r="Q213" s="37" t="n">
        <x:f>ROUND(P213*J213,2)</x:f>
        <x:v>0</x:v>
      </x:c>
      <x:c r="R213" s="37" t="n">
        <x:f>ROUND(P213-Q213,2)</x:f>
        <x:v>13</x:v>
      </x:c>
      <x:c r="S213" s="37" t="n">
        <x:v>4.64</x:v>
      </x:c>
      <x:c r="T213" s="37" t="n">
        <x:f>ROUND(R213-S213,2)</x:f>
        <x:v>8.36</x:v>
      </x:c>
    </x:row>
    <x:row r="214">
      <x:c r="A214" s="35" t="str">
        <x:v>CAF-0213</x:v>
      </x:c>
      <x:c r="B214" s="36" t="n">
        <x:v>46219</x:v>
      </x:c>
      <x:c r="C214" s="35" t="str">
        <x:v>17:46</x:v>
      </x:c>
      <x:c r="D214" s="35" t="str">
        <x:v>Totem</x:v>
      </x:c>
      <x:c r="E214" s="35" t="str">
        <x:v>Suco natural</x:v>
      </x:c>
      <x:c r="F214" s="35" t="str">
        <x:v>Bebidas frias</x:v>
      </x:c>
      <x:c r="G214" s="35" t="str">
        <x:v>Grande</x:v>
      </x:c>
      <x:c r="H214" s="35" t="n">
        <x:v>1</x:v>
      </x:c>
      <x:c r="I214" s="37" t="n">
        <x:v>11.9</x:v>
      </x:c>
      <x:c r="J214" s="38" t="n">
        <x:v>0</x:v>
      </x:c>
      <x:c r="K214" s="35" t="str">
        <x:v>Pix</x:v>
      </x:c>
      <x:c r="L214" s="35" t="str">
        <x:v>Novo</x:v>
      </x:c>
      <x:c r="M214" s="35" t="str">
        <x:v>Concluído</x:v>
      </x:c>
      <x:c r="N214" s="35" t="n">
        <x:v>19</x:v>
      </x:c>
      <x:c r="O214" s="35" t="n">
        <x:v>4</x:v>
      </x:c>
      <x:c r="P214" s="37" t="n">
        <x:f>ROUND(H214*I214,2)</x:f>
        <x:v>11.9</x:v>
      </x:c>
      <x:c r="Q214" s="37" t="n">
        <x:f>ROUND(P214*J214,2)</x:f>
        <x:v>0</x:v>
      </x:c>
      <x:c r="R214" s="37" t="n">
        <x:f>ROUND(P214-Q214,2)</x:f>
        <x:v>11.9</x:v>
      </x:c>
      <x:c r="S214" s="37" t="n">
        <x:v>4.68</x:v>
      </x:c>
      <x:c r="T214" s="37" t="n">
        <x:f>ROUND(R214-S214,2)</x:f>
        <x:v>7.22</x:v>
      </x:c>
    </x:row>
    <x:row r="215">
      <x:c r="A215" s="35" t="str">
        <x:v>CAF-0214</x:v>
      </x:c>
      <x:c r="B215" s="36" t="n">
        <x:v>46231</x:v>
      </x:c>
      <x:c r="C215" s="35" t="str">
        <x:v>16:12</x:v>
      </x:c>
      <x:c r="D215" s="35" t="str">
        <x:v>Aplicativo</x:v>
      </x:c>
      <x:c r="E215" s="35" t="str">
        <x:v>Croissant</x:v>
      </x:c>
      <x:c r="F215" s="35" t="str">
        <x:v>Comidas</x:v>
      </x:c>
      <x:c r="G215" s="35" t="str">
        <x:v>Único</x:v>
      </x:c>
      <x:c r="H215" s="35" t="n">
        <x:v>1</x:v>
      </x:c>
      <x:c r="I215" s="37" t="n">
        <x:v>12.5</x:v>
      </x:c>
      <x:c r="J215" s="38" t="n">
        <x:v>0</x:v>
      </x:c>
      <x:c r="K215" s="35" t="str">
        <x:v>Dinheiro</x:v>
      </x:c>
      <x:c r="L215" s="35" t="str">
        <x:v>Programa de fidelidade</x:v>
      </x:c>
      <x:c r="M215" s="35" t="str">
        <x:v>Concluído</x:v>
      </x:c>
      <x:c r="N215" s="35" t="n">
        <x:v>9</x:v>
      </x:c>
      <x:c r="O215" s="35" t="n">
        <x:v>3</x:v>
      </x:c>
      <x:c r="P215" s="37" t="n">
        <x:f>ROUND(H215*I215,2)</x:f>
        <x:v>12.5</x:v>
      </x:c>
      <x:c r="Q215" s="37" t="n">
        <x:f>ROUND(P215*J215,2)</x:f>
        <x:v>0</x:v>
      </x:c>
      <x:c r="R215" s="37" t="n">
        <x:f>ROUND(P215-Q215,2)</x:f>
        <x:v>12.5</x:v>
      </x:c>
      <x:c r="S215" s="37" t="n">
        <x:v>5.48</x:v>
      </x:c>
      <x:c r="T215" s="37" t="n">
        <x:f>ROUND(R215-S215,2)</x:f>
        <x:v>7.02</x:v>
      </x:c>
    </x:row>
    <x:row r="216">
      <x:c r="A216" s="35" t="str">
        <x:v>CAF-0215</x:v>
      </x:c>
      <x:c r="B216" s="36" t="n">
        <x:v>46209</x:v>
      </x:c>
      <x:c r="C216" s="35" t="str">
        <x:v>08:49</x:v>
      </x:c>
      <x:c r="D216" s="35" t="str">
        <x:v>Delivery</x:v>
      </x:c>
      <x:c r="E216" s="35" t="str">
        <x:v>Mocha</x:v>
      </x:c>
      <x:c r="F216" s="35" t="str">
        <x:v>Cafés</x:v>
      </x:c>
      <x:c r="G216" s="35" t="str">
        <x:v>Médio</x:v>
      </x:c>
      <x:c r="H216" s="35" t="n">
        <x:v>2</x:v>
      </x:c>
      <x:c r="I216" s="37" t="n">
        <x:v>15.5</x:v>
      </x:c>
      <x:c r="J216" s="38" t="n">
        <x:v>0.1</x:v>
      </x:c>
      <x:c r="K216" s="35" t="str">
        <x:v>Dinheiro</x:v>
      </x:c>
      <x:c r="L216" s="35" t="str">
        <x:v>Programa de fidelidade</x:v>
      </x:c>
      <x:c r="M216" s="35" t="str">
        <x:v>Concluído</x:v>
      </x:c>
      <x:c r="N216" s="35" t="n">
        <x:v>16</x:v>
      </x:c>
      <x:c r="O216" s="35" t="n">
        <x:v>3</x:v>
      </x:c>
      <x:c r="P216" s="37" t="n">
        <x:f>ROUND(H216*I216,2)</x:f>
        <x:v>31</x:v>
      </x:c>
      <x:c r="Q216" s="37" t="n">
        <x:f>ROUND(P216*J216,2)</x:f>
        <x:v>3.1</x:v>
      </x:c>
      <x:c r="R216" s="37" t="n">
        <x:f>ROUND(P216-Q216,2)</x:f>
        <x:v>27.9</x:v>
      </x:c>
      <x:c r="S216" s="37" t="n">
        <x:v>12.69</x:v>
      </x:c>
      <x:c r="T216" s="37" t="n">
        <x:f>ROUND(R216-S216,2)</x:f>
        <x:v>15.21</x:v>
      </x:c>
    </x:row>
    <x:row r="217">
      <x:c r="A217" s="35" t="str">
        <x:v>CAF-0216</x:v>
      </x:c>
      <x:c r="B217" s="36" t="n">
        <x:v>46211</x:v>
      </x:c>
      <x:c r="C217" s="35" t="str">
        <x:v>18:29</x:v>
      </x:c>
      <x:c r="D217" s="35" t="str">
        <x:v>Aplicativo</x:v>
      </x:c>
      <x:c r="E217" s="35" t="str">
        <x:v>Croissant</x:v>
      </x:c>
      <x:c r="F217" s="35" t="str">
        <x:v>Comidas</x:v>
      </x:c>
      <x:c r="G217" s="35" t="str">
        <x:v>Único</x:v>
      </x:c>
      <x:c r="H217" s="35" t="n">
        <x:v>1</x:v>
      </x:c>
      <x:c r="I217" s="37" t="n">
        <x:v>12.5</x:v>
      </x:c>
      <x:c r="J217" s="38" t="n">
        <x:v>0</x:v>
      </x:c>
      <x:c r="K217" s="35" t="str">
        <x:v>Cartão de crédito</x:v>
      </x:c>
      <x:c r="L217" s="35" t="str">
        <x:v>Programa de fidelidade</x:v>
      </x:c>
      <x:c r="M217" s="35" t="str">
        <x:v>Cancelado</x:v>
      </x:c>
      <x:c r="N217" s="35" t="n">
        <x:v>11</x:v>
      </x:c>
      <x:c r="O217" s="35"/>
      <x:c r="P217" s="37" t="n">
        <x:f>ROUND(H217*I217,2)</x:f>
        <x:v>12.5</x:v>
      </x:c>
      <x:c r="Q217" s="37" t="n">
        <x:f>ROUND(P217*J217,2)</x:f>
        <x:v>0</x:v>
      </x:c>
      <x:c r="R217" s="37" t="n">
        <x:f>ROUND(P217-Q217,2)</x:f>
        <x:v>12.5</x:v>
      </x:c>
      <x:c r="S217" s="37" t="n">
        <x:v>5.03</x:v>
      </x:c>
      <x:c r="T217" s="37" t="n">
        <x:f>ROUND(R217-S217,2)</x:f>
        <x:v>7.47</x:v>
      </x:c>
    </x:row>
    <x:row r="218">
      <x:c r="A218" s="35" t="str">
        <x:v>CAF-0217</x:v>
      </x:c>
      <x:c r="B218" s="36" t="n">
        <x:v>46206</x:v>
      </x:c>
      <x:c r="C218" s="35" t="str">
        <x:v>15:49</x:v>
      </x:c>
      <x:c r="D218" s="35" t="str">
        <x:v>Delivery</x:v>
      </x:c>
      <x:c r="E218" s="35" t="str">
        <x:v>Latte</x:v>
      </x:c>
      <x:c r="F218" s="35" t="str">
        <x:v>Cafés</x:v>
      </x:c>
      <x:c r="G218" s="35" t="str">
        <x:v>Médio</x:v>
      </x:c>
      <x:c r="H218" s="35" t="n">
        <x:v>1</x:v>
      </x:c>
      <x:c r="I218" s="37" t="n">
        <x:v>13.9</x:v>
      </x:c>
      <x:c r="J218" s="38" t="n">
        <x:v>0.1</x:v>
      </x:c>
      <x:c r="K218" s="35" t="str">
        <x:v>Cartão de débito</x:v>
      </x:c>
      <x:c r="L218" s="35" t="str">
        <x:v>Programa de fidelidade</x:v>
      </x:c>
      <x:c r="M218" s="35" t="str">
        <x:v>Concluído</x:v>
      </x:c>
      <x:c r="N218" s="35" t="n">
        <x:v>19</x:v>
      </x:c>
      <x:c r="O218" s="35" t="n">
        <x:v>3</x:v>
      </x:c>
      <x:c r="P218" s="37" t="n">
        <x:f>ROUND(H218*I218,2)</x:f>
        <x:v>13.9</x:v>
      </x:c>
      <x:c r="Q218" s="37" t="n">
        <x:f>ROUND(P218*J218,2)</x:f>
        <x:v>1.39</x:v>
      </x:c>
      <x:c r="R218" s="37" t="n">
        <x:f>ROUND(P218-Q218,2)</x:f>
        <x:v>12.51</x:v>
      </x:c>
      <x:c r="S218" s="37" t="n">
        <x:v>6.5</x:v>
      </x:c>
      <x:c r="T218" s="37" t="n">
        <x:f>ROUND(R218-S218,2)</x:f>
        <x:v>6.01</x:v>
      </x:c>
    </x:row>
    <x:row r="219">
      <x:c r="A219" s="35" t="str">
        <x:v>CAF-0218</x:v>
      </x:c>
      <x:c r="B219" s="36" t="n">
        <x:v>46225</x:v>
      </x:c>
      <x:c r="C219" s="35" t="str">
        <x:v>18:37</x:v>
      </x:c>
      <x:c r="D219" s="35" t="str">
        <x:v>Totem</x:v>
      </x:c>
      <x:c r="E219" s="35" t="str">
        <x:v>Suco natural</x:v>
      </x:c>
      <x:c r="F219" s="35" t="str">
        <x:v>Bebidas frias</x:v>
      </x:c>
      <x:c r="G219" s="35" t="str">
        <x:v>Grande</x:v>
      </x:c>
      <x:c r="H219" s="35" t="n">
        <x:v>3</x:v>
      </x:c>
      <x:c r="I219" s="37" t="n">
        <x:v>11.9</x:v>
      </x:c>
      <x:c r="J219" s="38" t="n">
        <x:v>0.05</x:v>
      </x:c>
      <x:c r="K219" s="35" t="str">
        <x:v>Cartão de débito</x:v>
      </x:c>
      <x:c r="L219" s="35" t="str">
        <x:v>Recorrente</x:v>
      </x:c>
      <x:c r="M219" s="35" t="str">
        <x:v>Cancelado</x:v>
      </x:c>
      <x:c r="N219" s="35" t="n">
        <x:v>9</x:v>
      </x:c>
      <x:c r="O219" s="35"/>
      <x:c r="P219" s="37" t="n">
        <x:f>ROUND(H219*I219,2)</x:f>
        <x:v>35.7</x:v>
      </x:c>
      <x:c r="Q219" s="37" t="n">
        <x:f>ROUND(P219*J219,2)</x:f>
        <x:v>1.79</x:v>
      </x:c>
      <x:c r="R219" s="37" t="n">
        <x:f>ROUND(P219-Q219,2)</x:f>
        <x:v>33.91</x:v>
      </x:c>
      <x:c r="S219" s="37" t="n">
        <x:v>15.94</x:v>
      </x:c>
      <x:c r="T219" s="37" t="n">
        <x:f>ROUND(R219-S219,2)</x:f>
        <x:v>17.97</x:v>
      </x:c>
    </x:row>
    <x:row r="220">
      <x:c r="A220" s="35" t="str">
        <x:v>CAF-0219</x:v>
      </x:c>
      <x:c r="B220" s="36" t="n">
        <x:v>46209</x:v>
      </x:c>
      <x:c r="C220" s="35" t="str">
        <x:v>16:19</x:v>
      </x:c>
      <x:c r="D220" s="35" t="str">
        <x:v>Delivery</x:v>
      </x:c>
      <x:c r="E220" s="35" t="str">
        <x:v>Bolo de chocolate</x:v>
      </x:c>
      <x:c r="F220" s="35" t="str">
        <x:v>Comidas</x:v>
      </x:c>
      <x:c r="G220" s="35" t="str">
        <x:v>Fatia</x:v>
      </x:c>
      <x:c r="H220" s="35" t="n">
        <x:v>2</x:v>
      </x:c>
      <x:c r="I220" s="37" t="n">
        <x:v>10.9</x:v>
      </x:c>
      <x:c r="J220" s="38" t="n">
        <x:v>0</x:v>
      </x:c>
      <x:c r="K220" s="35" t="str">
        <x:v>Dinheiro</x:v>
      </x:c>
      <x:c r="L220" s="35" t="str">
        <x:v>Programa de fidelidade</x:v>
      </x:c>
      <x:c r="M220" s="35" t="str">
        <x:v>Cancelado</x:v>
      </x:c>
      <x:c r="N220" s="35" t="n">
        <x:v>17</x:v>
      </x:c>
      <x:c r="O220" s="35"/>
      <x:c r="P220" s="37" t="n">
        <x:f>ROUND(H220*I220,2)</x:f>
        <x:v>21.8</x:v>
      </x:c>
      <x:c r="Q220" s="37" t="n">
        <x:f>ROUND(P220*J220,2)</x:f>
        <x:v>0</x:v>
      </x:c>
      <x:c r="R220" s="37" t="n">
        <x:f>ROUND(P220-Q220,2)</x:f>
        <x:v>21.8</x:v>
      </x:c>
      <x:c r="S220" s="37" t="n">
        <x:v>8.84</x:v>
      </x:c>
      <x:c r="T220" s="37" t="n">
        <x:f>ROUND(R220-S220,2)</x:f>
        <x:v>12.96</x:v>
      </x:c>
    </x:row>
    <x:row r="221">
      <x:c r="A221" s="39" t="str">
        <x:v>CAF-0220</x:v>
      </x:c>
      <x:c r="B221" s="40" t="n">
        <x:v>46219</x:v>
      </x:c>
      <x:c r="C221" s="39" t="str">
        <x:v>18:36</x:v>
      </x:c>
      <x:c r="D221" s="39" t="str">
        <x:v>Totem</x:v>
      </x:c>
      <x:c r="E221" s="39" t="str">
        <x:v>Pão de queijo</x:v>
      </x:c>
      <x:c r="F221" s="39" t="str">
        <x:v>Comidas</x:v>
      </x:c>
      <x:c r="G221" s="39" t="str">
        <x:v>Porção</x:v>
      </x:c>
      <x:c r="H221" s="39" t="n">
        <x:v>3</x:v>
      </x:c>
      <x:c r="I221" s="41" t="n">
        <x:v>8.5</x:v>
      </x:c>
      <x:c r="J221" s="42" t="n">
        <x:v>0</x:v>
      </x:c>
      <x:c r="K221" s="39" t="str">
        <x:v>Dinheiro</x:v>
      </x:c>
      <x:c r="L221" s="39" t="str">
        <x:v>Novo</x:v>
      </x:c>
      <x:c r="M221" s="39" t="str">
        <x:v>Concluído</x:v>
      </x:c>
      <x:c r="N221" s="39" t="n">
        <x:v>14</x:v>
      </x:c>
      <x:c r="O221" s="39" t="n">
        <x:v>5</x:v>
      </x:c>
      <x:c r="P221" s="41" t="n">
        <x:f>ROUND(H221*I221,2)</x:f>
        <x:v>25.5</x:v>
      </x:c>
      <x:c r="Q221" s="41" t="n">
        <x:f>ROUND(P221*J221,2)</x:f>
        <x:v>0</x:v>
      </x:c>
      <x:c r="R221" s="41" t="n">
        <x:f>ROUND(P221-Q221,2)</x:f>
        <x:v>25.5</x:v>
      </x:c>
      <x:c r="S221" s="41" t="n">
        <x:v>9.03</x:v>
      </x:c>
      <x:c r="T221" s="41" t="n">
        <x:f>ROUND(R221-S221,2)</x:f>
        <x:v>16.47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 ht="34" customHeight="1">
      <x:c r="A1" s="63" t="str">
        <x:v>DESAFIO DE PORTFÓLIO — CAFETERIA</x:v>
      </x:c>
      <x:c r="B1" s="63"/>
      <x:c r="C1" s="63"/>
      <x:c r="D1" s="63"/>
      <x:c r="E1" s="63"/>
      <x:c r="F1" s="63"/>
    </x:row>
    <x:row r="2">
      <x:c r="A2" s="57"/>
      <x:c r="B2" s="57"/>
    </x:row>
    <x:row r="3" ht="24" customHeight="1">
      <x:c r="A3" s="58" t="str">
        <x:v>Objetivo</x:v>
      </x:c>
      <x:c r="B3" s="58" t="str">
        <x:v>Criar um dashboard de pedidos e desempenho da cafeteria no Looker Studio.</x:v>
      </x:c>
    </x:row>
    <x:row r="4" ht="24" customHeight="1">
      <x:c r="A4" s="57"/>
      <x:c r="B4" s="57"/>
    </x:row>
    <x:row r="5" ht="24" customHeight="1">
      <x:c r="A5" s="59" t="str">
        <x:v>Indicador</x:v>
      </x:c>
      <x:c r="B5" s="59" t="str">
        <x:v>Pergunta para responder</x:v>
      </x:c>
    </x:row>
    <x:row r="6" ht="24" customHeight="1">
      <x:c r="A6" s="60" t="str">
        <x:v>Faturamento</x:v>
      </x:c>
      <x:c r="B6" s="60" t="str">
        <x:v>Qual foi a receita líquida total e sua evolução por dia?</x:v>
      </x:c>
    </x:row>
    <x:row r="7" ht="24" customHeight="1">
      <x:c r="A7" s="61" t="str">
        <x:v>Produtos</x:v>
      </x:c>
      <x:c r="B7" s="61" t="str">
        <x:v>Quais produtos venderam mais e quais geraram mais lucro?</x:v>
      </x:c>
    </x:row>
    <x:row r="8" ht="24" customHeight="1">
      <x:c r="A8" s="61" t="str">
        <x:v>Canais</x:v>
      </x:c>
      <x:c r="B8" s="61" t="str">
        <x:v>Qual canal trouxe mais pedidos e maior faturamento?</x:v>
      </x:c>
    </x:row>
    <x:row r="9" ht="24" customHeight="1">
      <x:c r="A9" s="61" t="str">
        <x:v>Clientes</x:v>
      </x:c>
      <x:c r="B9" s="61" t="str">
        <x:v>Qual proporção de clientes novos, recorrentes e fidelidade?</x:v>
      </x:c>
    </x:row>
    <x:row r="10" ht="24" customHeight="1">
      <x:c r="A10" s="61" t="str">
        <x:v>Operação</x:v>
      </x:c>
      <x:c r="B10" s="61" t="str">
        <x:v>Qual foi o tempo médio de preparo por canal?</x:v>
      </x:c>
    </x:row>
    <x:row r="11" ht="24" customHeight="1">
      <x:c r="A11" s="61" t="str">
        <x:v>Satisfação</x:v>
      </x:c>
      <x:c r="B11" s="61" t="str">
        <x:v>Qual foi a média de avaliação por produto?</x:v>
      </x:c>
    </x:row>
    <x:row r="12" ht="24" customHeight="1">
      <x:c r="A12" s="62" t="str">
        <x:v>Cancelamentos</x:v>
      </x:c>
      <x:c r="B12" s="62" t="str">
        <x:v>Qual foi a taxa de pedidos cancelados?</x:v>
      </x:c>
    </x:row>
    <x:row r="13" ht="24" customHeight="1">
      <x:c r="A13" s="57"/>
      <x:c r="B13" s="57"/>
    </x:row>
    <x:row r="14" ht="24" customHeight="1">
      <x:c r="A14" s="59" t="str">
        <x:v>Sugestão de páginas</x:v>
      </x:c>
      <x:c r="B14" s="59" t="str">
        <x:v>Conteúdo</x:v>
      </x:c>
    </x:row>
    <x:row r="15" ht="24" customHeight="1">
      <x:c r="A15" s="60" t="str">
        <x:v>Visão geral</x:v>
      </x:c>
      <x:c r="B15" s="60" t="str">
        <x:v>KPIs, receita por dia e pedidos por canal</x:v>
      </x:c>
    </x:row>
    <x:row r="16" ht="24" customHeight="1">
      <x:c r="A16" s="61" t="str">
        <x:v>Produtos</x:v>
      </x:c>
      <x:c r="B16" s="61" t="str">
        <x:v>Ranking de vendas, receita e lucro por produto</x:v>
      </x:c>
    </x:row>
    <x:row r="17" ht="24" customHeight="1">
      <x:c r="A17" s="62" t="str">
        <x:v>Clientes e operação</x:v>
      </x:c>
      <x:c r="B17" s="62" t="str">
        <x:v>Perfil dos clientes, avaliações e tempo de preparo</x:v>
      </x:c>
    </x:row>
  </x:sheetData>
  <x:mergeCells>
    <x:mergeCell ref="A1:F1"/>
  </x:mergeCells>
  <x:pageMargins left="0.7" right="0.7" top="0.75" bottom="0.75" header="0.3" footer="0.3"/>
</x:worksheet>
</file>